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BYAJIT\Downloads\"/>
    </mc:Choice>
  </mc:AlternateContent>
  <xr:revisionPtr revIDLastSave="0" documentId="13_ncr:1_{5F63F203-5CDA-43AD-8225-7B7227E3951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Form responses 1" sheetId="1" r:id="rId1"/>
    <sheet name="Screen time per age group" sheetId="3" r:id="rId2"/>
    <sheet name="Work Vs Entertainment" sheetId="4" r:id="rId3"/>
    <sheet name="Screentime Affecting sleep" sheetId="6" r:id="rId4"/>
  </sheets>
  <calcPr calcId="191029"/>
  <pivotCaches>
    <pivotCache cacheId="9" r:id="rId5"/>
    <pivotCache cacheId="44" r:id="rId6"/>
    <pivotCache cacheId="6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</calcChain>
</file>

<file path=xl/sharedStrings.xml><?xml version="1.0" encoding="utf-8"?>
<sst xmlns="http://schemas.openxmlformats.org/spreadsheetml/2006/main" count="351" uniqueCount="134">
  <si>
    <t>Timestamp</t>
  </si>
  <si>
    <t>Name</t>
  </si>
  <si>
    <t>Age</t>
  </si>
  <si>
    <t>What  is your role in the family?</t>
  </si>
  <si>
    <t>Occupation?</t>
  </si>
  <si>
    <t>What would be your Total Screen time per day (in hours)?</t>
  </si>
  <si>
    <t>Screen time spent on Work or Study (in hours)?</t>
  </si>
  <si>
    <t>Screen time spent on Entertainment (TV, YouTube,etc.)?</t>
  </si>
  <si>
    <t>Screen time spent on Social Media (in hours)?</t>
  </si>
  <si>
    <t>Screen time spent on Gaming (in hours)?</t>
  </si>
  <si>
    <t>What kind of device do you use?</t>
  </si>
  <si>
    <t>Do you use screens after 9 pm?</t>
  </si>
  <si>
    <t>Do you think your screen time is too much?</t>
  </si>
  <si>
    <t>Has is affected your sleep?</t>
  </si>
  <si>
    <t>What do you miss because of  screen time?</t>
  </si>
  <si>
    <t>Rahul Das</t>
  </si>
  <si>
    <t>19–30</t>
  </si>
  <si>
    <t>Sibling</t>
  </si>
  <si>
    <t>MBA Student</t>
  </si>
  <si>
    <t>Mobile, Laptop</t>
  </si>
  <si>
    <t>Yes</t>
  </si>
  <si>
    <t>Reading books</t>
  </si>
  <si>
    <t>Anita Saha</t>
  </si>
  <si>
    <t>31–50</t>
  </si>
  <si>
    <t>Parent</t>
  </si>
  <si>
    <t>Teacher</t>
  </si>
  <si>
    <t>Laptop, Mobile</t>
  </si>
  <si>
    <t>No</t>
  </si>
  <si>
    <t>Family conversations</t>
  </si>
  <si>
    <t>Subhash Saha</t>
  </si>
  <si>
    <t>51+</t>
  </si>
  <si>
    <t>Grandparent</t>
  </si>
  <si>
    <t>Retired</t>
  </si>
  <si>
    <t>Smart TV, Mobile</t>
  </si>
  <si>
    <t>Morning walks</t>
  </si>
  <si>
    <t>Rohan Roy</t>
  </si>
  <si>
    <t>Software Engineer</t>
  </si>
  <si>
    <t>Exercise</t>
  </si>
  <si>
    <t>Priya Deb</t>
  </si>
  <si>
    <t>11–18</t>
  </si>
  <si>
    <t>Child</t>
  </si>
  <si>
    <t>Class XI Student</t>
  </si>
  <si>
    <t>Outdoor games</t>
  </si>
  <si>
    <t>Sanjay Paul</t>
  </si>
  <si>
    <t>Business Owner</t>
  </si>
  <si>
    <t>Relaxation</t>
  </si>
  <si>
    <t>Nikita Sen</t>
  </si>
  <si>
    <t>Other</t>
  </si>
  <si>
    <t>Bank Employee</t>
  </si>
  <si>
    <t>Not Sure</t>
  </si>
  <si>
    <t>Sleep</t>
  </si>
  <si>
    <t>Akash Dey</t>
  </si>
  <si>
    <t>Job Seeker</t>
  </si>
  <si>
    <t>Learning new skills</t>
  </si>
  <si>
    <t>Mousumi Das</t>
  </si>
  <si>
    <t>Government Employee</t>
  </si>
  <si>
    <t>Walking</t>
  </si>
  <si>
    <t>Gita Roy</t>
  </si>
  <si>
    <t>Homemaker</t>
  </si>
  <si>
    <t>Smart TV</t>
  </si>
  <si>
    <t>Gardening</t>
  </si>
  <si>
    <t>Amit Sharma</t>
  </si>
  <si>
    <t>Analyst</t>
  </si>
  <si>
    <t>Workout</t>
  </si>
  <si>
    <t>Riya Paul</t>
  </si>
  <si>
    <t>Class IX Student</t>
  </si>
  <si>
    <t>Mobile</t>
  </si>
  <si>
    <t>Cricket</t>
  </si>
  <si>
    <t>Meena Ghosh</t>
  </si>
  <si>
    <t>Nurse</t>
  </si>
  <si>
    <t>Rest</t>
  </si>
  <si>
    <t>Abhishek Nath</t>
  </si>
  <si>
    <t>Sourav Dutta</t>
  </si>
  <si>
    <t>Sales Executive</t>
  </si>
  <si>
    <t>Family time</t>
  </si>
  <si>
    <t>Kalpana Saha</t>
  </si>
  <si>
    <t>Retired Teacher</t>
  </si>
  <si>
    <t>Dr. Arindam Sen</t>
  </si>
  <si>
    <t>Doctor</t>
  </si>
  <si>
    <t>Ritwik Das</t>
  </si>
  <si>
    <t>Engineer</t>
  </si>
  <si>
    <t>Reading</t>
  </si>
  <si>
    <t>Tanmay Deb</t>
  </si>
  <si>
    <t>Class VIII Student</t>
  </si>
  <si>
    <t>Football</t>
  </si>
  <si>
    <t>Sharmila Roy</t>
  </si>
  <si>
    <t>Mobile, Smart TV</t>
  </si>
  <si>
    <t>Cooking</t>
  </si>
  <si>
    <t>Sneha Chakraborty</t>
  </si>
  <si>
    <t>Research Scholar</t>
  </si>
  <si>
    <t>Laptop</t>
  </si>
  <si>
    <t>Biswajit Paul</t>
  </si>
  <si>
    <t>Accountant</t>
  </si>
  <si>
    <t>Family dinners</t>
  </si>
  <si>
    <t>Poulomi Dey</t>
  </si>
  <si>
    <t>Marketing Executive</t>
  </si>
  <si>
    <t>Sunil Roy</t>
  </si>
  <si>
    <t>Temple visits</t>
  </si>
  <si>
    <t>Ananya Saha</t>
  </si>
  <si>
    <t>Class XII Student</t>
  </si>
  <si>
    <t>Prof. Debasis Das</t>
  </si>
  <si>
    <t>Professor</t>
  </si>
  <si>
    <t>Dibyendu Paul</t>
  </si>
  <si>
    <t>Data Analyst</t>
  </si>
  <si>
    <t>Neha Ghosh</t>
  </si>
  <si>
    <t>HR Executive</t>
  </si>
  <si>
    <t>Hemanta Deb</t>
  </si>
  <si>
    <t>Farmer</t>
  </si>
  <si>
    <t>Nothing</t>
  </si>
  <si>
    <t>Rajesh Saha</t>
  </si>
  <si>
    <t>Police Officer</t>
  </si>
  <si>
    <t>Karan Roy</t>
  </si>
  <si>
    <t>Chartered Accountant</t>
  </si>
  <si>
    <t>Gym</t>
  </si>
  <si>
    <t>Shruti Das</t>
  </si>
  <si>
    <t>Class X Student</t>
  </si>
  <si>
    <t>Playing outside</t>
  </si>
  <si>
    <t>Supriya Sen</t>
  </si>
  <si>
    <t>Private Employee</t>
  </si>
  <si>
    <t>Vikram Nath</t>
  </si>
  <si>
    <t>Entrepreneur</t>
  </si>
  <si>
    <t>Meeting friends</t>
  </si>
  <si>
    <t>Prabir Chakraborty</t>
  </si>
  <si>
    <t>Retired Banker</t>
  </si>
  <si>
    <t>Average of What would be your Total Screen time per day (in hours)?</t>
  </si>
  <si>
    <t>Scr</t>
  </si>
  <si>
    <t>Average of Screen time spent on Work or Study (in hours)?</t>
  </si>
  <si>
    <t>Average of Screen time spent on Entertainment (TV, YouTube,etc.)?</t>
  </si>
  <si>
    <t>Count of Age</t>
  </si>
  <si>
    <t>sleep_affected</t>
  </si>
  <si>
    <t>too_much_screen_time</t>
  </si>
  <si>
    <t>too_much_screen_time_affecting_sleep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</si>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</sst>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5" xfId="0" applyBorder="1"/>
    <xf numFmtId="165" fontId="0" fillId="0" borderId="6" xfId="0" applyNumberFormat="1" applyBorder="1"/>
    <xf numFmtId="0" fontId="3" fillId="2" borderId="0" xfId="0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0" fillId="0" borderId="7" xfId="0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3" xfId="0" applyNumberFormat="1" applyBorder="1"/>
    <xf numFmtId="2" fontId="0" fillId="0" borderId="8" xfId="0" applyNumberFormat="1" applyBorder="1"/>
    <xf numFmtId="2" fontId="0" fillId="0" borderId="5" xfId="0" applyNumberFormat="1" applyBorder="1"/>
    <xf numFmtId="2" fontId="0" fillId="0" borderId="9" xfId="0" applyNumberFormat="1" applyBorder="1"/>
    <xf numFmtId="0" fontId="5" fillId="0" borderId="0" xfId="0" applyFont="1"/>
    <xf numFmtId="0" fontId="0" fillId="0" borderId="2" xfId="0" applyNumberFormat="1" applyBorder="1"/>
    <xf numFmtId="0" fontId="0" fillId="0" borderId="6" xfId="0" applyNumberForma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9" tint="0.39997558519241921"/>
        </patternFill>
      </fill>
      <alignment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 Time Survey (Responses).xlsx]Screen time per age group!PivotTable5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Average </a:t>
            </a:r>
          </a:p>
          <a:p>
            <a:pPr>
              <a:defRPr/>
            </a:pPr>
            <a:r>
              <a:rPr lang="en-IN" sz="1200"/>
              <a:t>Screen time per day (in hours)?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'Screen time per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'Screen time per age group'!$A$4:$A$7</c:f>
              <c:strCache>
                <c:ptCount val="4"/>
                <c:pt idx="0">
                  <c:v>11–18</c:v>
                </c:pt>
                <c:pt idx="1">
                  <c:v>19–30</c:v>
                </c:pt>
                <c:pt idx="2">
                  <c:v>31–50</c:v>
                </c:pt>
                <c:pt idx="3">
                  <c:v>51+</c:v>
                </c:pt>
              </c:strCache>
            </c:strRef>
          </c:cat>
          <c:val>
            <c:numRef>
              <c:f>'Screen time per age group'!$B$4:$B$7</c:f>
              <c:numCache>
                <c:formatCode>0.0</c:formatCode>
                <c:ptCount val="4"/>
                <c:pt idx="0">
                  <c:v>6.4</c:v>
                </c:pt>
                <c:pt idx="1">
                  <c:v>8.4285714285714288</c:v>
                </c:pt>
                <c:pt idx="2">
                  <c:v>6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F-4DB5-BBD9-1334687DE0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54235408"/>
        <c:axId val="760699120"/>
      </c:barChart>
      <c:catAx>
        <c:axId val="8542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99120"/>
        <c:crosses val="autoZero"/>
        <c:auto val="1"/>
        <c:lblAlgn val="ctr"/>
        <c:lblOffset val="100"/>
        <c:noMultiLvlLbl val="0"/>
      </c:catAx>
      <c:valAx>
        <c:axId val="7606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23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 Time Survey (Responses).xlsx]Work Vs Entertainment!PivotTable28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</a:t>
            </a:r>
            <a:r>
              <a:rPr lang="en-IN"/>
              <a:t>Work hours Vs Avg Entertainment hours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 Vs Entertainment'!$B$3</c:f>
              <c:strCache>
                <c:ptCount val="1"/>
                <c:pt idx="0">
                  <c:v>Average of Screen time spent on Work or Study (in hours)?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 Vs Entertainment'!$A$4:$A$7</c:f>
              <c:strCache>
                <c:ptCount val="4"/>
                <c:pt idx="0">
                  <c:v>11–18</c:v>
                </c:pt>
                <c:pt idx="1">
                  <c:v>19–30</c:v>
                </c:pt>
                <c:pt idx="2">
                  <c:v>31–50</c:v>
                </c:pt>
                <c:pt idx="3">
                  <c:v>51+</c:v>
                </c:pt>
              </c:strCache>
            </c:strRef>
          </c:cat>
          <c:val>
            <c:numRef>
              <c:f>'Work Vs Entertainment'!$B$4:$B$7</c:f>
              <c:numCache>
                <c:formatCode>0.00</c:formatCode>
                <c:ptCount val="4"/>
                <c:pt idx="0">
                  <c:v>3</c:v>
                </c:pt>
                <c:pt idx="1">
                  <c:v>5.2142857142857144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D-4647-A14A-9E7A6C08E62F}"/>
            </c:ext>
          </c:extLst>
        </c:ser>
        <c:ser>
          <c:idx val="1"/>
          <c:order val="1"/>
          <c:tx>
            <c:strRef>
              <c:f>'Work Vs Entertainment'!$C$3</c:f>
              <c:strCache>
                <c:ptCount val="1"/>
                <c:pt idx="0">
                  <c:v>Average of Screen time spent on Entertainment (TV, YouTube,etc.)?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 Vs Entertainment'!$A$4:$A$7</c:f>
              <c:strCache>
                <c:ptCount val="4"/>
                <c:pt idx="0">
                  <c:v>11–18</c:v>
                </c:pt>
                <c:pt idx="1">
                  <c:v>19–30</c:v>
                </c:pt>
                <c:pt idx="2">
                  <c:v>31–50</c:v>
                </c:pt>
                <c:pt idx="3">
                  <c:v>51+</c:v>
                </c:pt>
              </c:strCache>
            </c:strRef>
          </c:cat>
          <c:val>
            <c:numRef>
              <c:f>'Work Vs Entertainment'!$C$4:$C$7</c:f>
              <c:numCache>
                <c:formatCode>0.00</c:formatCode>
                <c:ptCount val="4"/>
                <c:pt idx="0">
                  <c:v>1.4</c:v>
                </c:pt>
                <c:pt idx="1">
                  <c:v>1.2857142857142858</c:v>
                </c:pt>
                <c:pt idx="2">
                  <c:v>1.05</c:v>
                </c:pt>
                <c:pt idx="3">
                  <c:v>1.5833333333333333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7D-4647-A14A-9E7A6C08E6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8415920"/>
        <c:axId val="760728880"/>
      </c:barChart>
      <c:catAx>
        <c:axId val="103841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28880"/>
        <c:crosses val="autoZero"/>
        <c:auto val="1"/>
        <c:lblAlgn val="ctr"/>
        <c:lblOffset val="100"/>
        <c:noMultiLvlLbl val="0"/>
      </c:catAx>
      <c:valAx>
        <c:axId val="76072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1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[Screen Time Survey (Responses).xlsx]Screentime Affecting sleep!PivotTable42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Screen</a:t>
            </a:r>
            <a:r>
              <a:rPr lang="en-IN" baseline="0"/>
              <a:t> time affecting Sleep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'Screentime Affecting sleep'!$B$3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'Screentime Affecting sleep'!$A$4:$A$5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'Screentime Affecting sleep'!$B$4:$B$5</c:f>
              <c:numCache>
                <c:formatCode>General</c:formatCode>
                <c:ptCount val="2"/>
                <c:pt idx="0">
                  <c:v>7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E7-4360-B30D-4ED0DF8009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6853264"/>
        <c:axId val="141705136"/>
      </c:barChart>
      <c:catAx>
        <c:axId val="84685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05136"/>
        <c:crosses val="autoZero"/>
        <c:auto val="1"/>
        <c:lblAlgn val="ctr"/>
        <c:lblOffset val="100"/>
        <c:noMultiLvlLbl val="0"/>
      </c:catAx>
      <c:valAx>
        <c:axId val="1417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5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</xdr:colOff>
      <xdr:row>0</xdr:row>
      <xdr:rowOff>127000</xdr:rowOff>
    </xdr:from>
    <xdr:to>
      <xdr:col>10</xdr:col>
      <xdr:colOff>336550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295D8-BCC9-C332-83E8-792EBE12A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7</xdr:row>
      <xdr:rowOff>76200</xdr:rowOff>
    </xdr:from>
    <xdr:to>
      <xdr:col>3</xdr:col>
      <xdr:colOff>387350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9657A-60D4-6DA0-497C-F02FB34DF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22224</xdr:colOff>
      <xdr:row>6</xdr:row>
      <xdr:rowOff>0</xdr:rowOff>
    </xdr:from>
    <xdr:to>
      <xdr:col>2</xdr:col>
      <xdr:colOff>273049</xdr:colOff>
      <xdr:row>23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F5006-3290-5A40-B102-D6BED0CE0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BYAJIT" refreshedDate="46240.545787499999" createdVersion="8" refreshedVersion="8" minRefreshableVersion="3" recordCount="35" xr:uid="{49466AEA-75BF-4BDB-89F9-4B812638037C}">
  <cacheSource type="worksheet">
    <worksheetSource name="Form_Responses"/>
  </cacheSource>
  <cacheFields count="15">
    <cacheField name="Timestamp" numFmtId="164">
      <sharedItems containsSemiMixedTypes="0" containsNonDate="0" containsDate="1" containsString="0" minDate="2026-08-06T09:02:14" maxDate="2026-08-06T11:27:52"/>
    </cacheField>
    <cacheField name="Name" numFmtId="0">
      <sharedItems/>
    </cacheField>
    <cacheField name="Age" numFmtId="0">
      <sharedItems count="4">
        <s v="19–30"/>
        <s v="31–50"/>
        <s v="51+"/>
        <s v="11–18"/>
      </sharedItems>
    </cacheField>
    <cacheField name="What  is your role in the family?" numFmtId="0">
      <sharedItems/>
    </cacheField>
    <cacheField name="Occupation?" numFmtId="0">
      <sharedItems/>
    </cacheField>
    <cacheField name="What would be your Total Screen time per day (in hours)?" numFmtId="165">
      <sharedItems containsSemiMixedTypes="0" containsString="0" containsNumber="1" containsInteger="1" minValue="2" maxValue="10"/>
    </cacheField>
    <cacheField name="Screen time spent on Work or Study (in hours)?" numFmtId="2">
      <sharedItems containsSemiMixedTypes="0" containsString="0" containsNumber="1" containsInteger="1" minValue="0" maxValue="7"/>
    </cacheField>
    <cacheField name="Screen time spent on Entertainment (TV, YouTube,etc.)?" numFmtId="2">
      <sharedItems containsSemiMixedTypes="0" containsString="0" containsNumber="1" minValue="0.5" maxValue="2"/>
    </cacheField>
    <cacheField name="Screen time spent on Social Media (in hours)?" numFmtId="2">
      <sharedItems containsSemiMixedTypes="0" containsString="0" containsNumber="1" minValue="0.5" maxValue="2"/>
    </cacheField>
    <cacheField name="Screen time spent on Gaming (in hours)?" numFmtId="2">
      <sharedItems containsSemiMixedTypes="0" containsString="0" containsNumber="1" minValue="0" maxValue="1"/>
    </cacheField>
    <cacheField name="What kind of device do you use?" numFmtId="0">
      <sharedItems/>
    </cacheField>
    <cacheField name="Do you use screens after 9 pm?" numFmtId="0">
      <sharedItems/>
    </cacheField>
    <cacheField name="Do you think your screen time is too much?" numFmtId="0">
      <sharedItems/>
    </cacheField>
    <cacheField name="Has is affected your sleep?" numFmtId="0">
      <sharedItems/>
    </cacheField>
    <cacheField name="What do you miss because of  screen tim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BYAJIT" refreshedDate="46240.665877777777" createdVersion="8" refreshedVersion="8" minRefreshableVersion="3" recordCount="35" xr:uid="{119CBC13-B72F-4655-8159-90C6B21C16DE}">
  <cacheSource type="worksheet">
    <worksheetSource name="Form_Responses"/>
  </cacheSource>
  <cacheFields count="15">
    <cacheField name="Timestamp" numFmtId="164">
      <sharedItems containsSemiMixedTypes="0" containsNonDate="0" containsDate="1" containsString="0" minDate="2026-08-06T09:02:14" maxDate="2026-08-06T11:27:52"/>
    </cacheField>
    <cacheField name="Name" numFmtId="0">
      <sharedItems/>
    </cacheField>
    <cacheField name="Age" numFmtId="0">
      <sharedItems count="4">
        <s v="19–30"/>
        <s v="31–50"/>
        <s v="51+"/>
        <s v="11–18"/>
      </sharedItems>
    </cacheField>
    <cacheField name="What  is your role in the family?" numFmtId="0">
      <sharedItems/>
    </cacheField>
    <cacheField name="Occupation?" numFmtId="0">
      <sharedItems/>
    </cacheField>
    <cacheField name="What would be your Total Screen time per day (in hours)?" numFmtId="165">
      <sharedItems containsSemiMixedTypes="0" containsString="0" containsNumber="1" containsInteger="1" minValue="2" maxValue="10"/>
    </cacheField>
    <cacheField name="Screen time spent on Work or Study (in hours)?" numFmtId="2">
      <sharedItems containsSemiMixedTypes="0" containsString="0" containsNumber="1" containsInteger="1" minValue="0" maxValue="7"/>
    </cacheField>
    <cacheField name="Screen time spent on Entertainment (TV, YouTube,etc.)?" numFmtId="2">
      <sharedItems containsSemiMixedTypes="0" containsString="0" containsNumber="1" minValue="0.5" maxValue="2"/>
    </cacheField>
    <cacheField name="Screen time spent on Social Media (in hours)?" numFmtId="2">
      <sharedItems containsSemiMixedTypes="0" containsString="0" containsNumber="1" minValue="0.5" maxValue="2"/>
    </cacheField>
    <cacheField name="Screen time spent on Gaming (in hours)?" numFmtId="2">
      <sharedItems containsSemiMixedTypes="0" containsString="0" containsNumber="1" minValue="0" maxValue="1"/>
    </cacheField>
    <cacheField name="What kind of device do you use?" numFmtId="0">
      <sharedItems/>
    </cacheField>
    <cacheField name="Do you use screens after 9 pm?" numFmtId="0">
      <sharedItems/>
    </cacheField>
    <cacheField name="Do you think your screen time is too much?" numFmtId="0">
      <sharedItems/>
    </cacheField>
    <cacheField name="Has is affected your sleep?" numFmtId="0">
      <sharedItems count="3">
        <s v="Yes"/>
        <s v="No"/>
        <s v="Not Sure"/>
      </sharedItems>
    </cacheField>
    <cacheField name="What do you miss because of  screen tim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BYAJIT" refreshedDate="46240.676551851851" createdVersion="8" refreshedVersion="8" minRefreshableVersion="3" recordCount="35" xr:uid="{90BFF84E-66A3-4B00-BCCB-CBC7C1B2172B}">
  <cacheSource type="worksheet">
    <worksheetSource name="Form_Responses"/>
  </cacheSource>
  <cacheFields count="18">
    <cacheField name="Timestamp" numFmtId="164">
      <sharedItems containsSemiMixedTypes="0" containsNonDate="0" containsDate="1" containsString="0" minDate="2026-08-06T09:02:14" maxDate="2026-08-06T11:27:52"/>
    </cacheField>
    <cacheField name="Name" numFmtId="0">
      <sharedItems/>
    </cacheField>
    <cacheField name="Age" numFmtId="0">
      <sharedItems count="4">
        <s v="19–30"/>
        <s v="31–50"/>
        <s v="51+"/>
        <s v="11–18"/>
      </sharedItems>
    </cacheField>
    <cacheField name="What  is your role in the family?" numFmtId="0">
      <sharedItems/>
    </cacheField>
    <cacheField name="Occupation?" numFmtId="0">
      <sharedItems/>
    </cacheField>
    <cacheField name="What would be your Total Screen time per day (in hours)?" numFmtId="165">
      <sharedItems containsSemiMixedTypes="0" containsString="0" containsNumber="1" containsInteger="1" minValue="2" maxValue="10"/>
    </cacheField>
    <cacheField name="Screen time spent on Work or Study (in hours)?" numFmtId="2">
      <sharedItems containsSemiMixedTypes="0" containsString="0" containsNumber="1" containsInteger="1" minValue="0" maxValue="7"/>
    </cacheField>
    <cacheField name="Screen time spent on Entertainment (TV, YouTube,etc.)?" numFmtId="2">
      <sharedItems containsSemiMixedTypes="0" containsString="0" containsNumber="1" minValue="0.5" maxValue="2"/>
    </cacheField>
    <cacheField name="Screen time spent on Social Media (in hours)?" numFmtId="2">
      <sharedItems containsSemiMixedTypes="0" containsString="0" containsNumber="1" minValue="0.5" maxValue="2"/>
    </cacheField>
    <cacheField name="Screen time spent on Gaming (in hours)?" numFmtId="2">
      <sharedItems containsSemiMixedTypes="0" containsString="0" containsNumber="1" minValue="0" maxValue="1"/>
    </cacheField>
    <cacheField name="What kind of device do you use?" numFmtId="0">
      <sharedItems/>
    </cacheField>
    <cacheField name="Do you use screens after 9 pm?" numFmtId="0">
      <sharedItems/>
    </cacheField>
    <cacheField name="Do you think your screen time is too much?" numFmtId="0">
      <sharedItems/>
    </cacheField>
    <cacheField name="Has is affected your sleep?" numFmtId="0">
      <sharedItems/>
    </cacheField>
    <cacheField name="What do you miss because of  screen time?" numFmtId="0">
      <sharedItems/>
    </cacheField>
    <cacheField name="too_much_screen_time" numFmtId="0">
      <sharedItems containsSemiMixedTypes="0" containsString="0" containsNumber="1" containsInteger="1" minValue="0" maxValue="1"/>
    </cacheField>
    <cacheField name="sleep_affected" numFmtId="0">
      <sharedItems containsSemiMixedTypes="0" containsString="0" containsNumber="1" containsInteger="1" minValue="0" maxValue="1"/>
    </cacheField>
    <cacheField name="too_much_screen_time_affecting_sleep" numFmtId="0">
      <sharedItems count="2">
        <s v="True"/>
        <s v="Fal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6-08-06T09:02:14"/>
    <s v="Rahul Das"/>
    <x v="0"/>
    <s v="Sibling"/>
    <s v="MBA Student"/>
    <n v="8"/>
    <n v="4"/>
    <n v="2"/>
    <n v="1.5"/>
    <n v="0.5"/>
    <s v="Mobile, Laptop"/>
    <s v="Yes"/>
    <s v="Yes"/>
    <s v="Yes"/>
    <s v="Reading books"/>
  </r>
  <r>
    <d v="2026-08-06T09:05:41"/>
    <s v="Anita Saha"/>
    <x v="1"/>
    <s v="Parent"/>
    <s v="Teacher"/>
    <n v="5"/>
    <n v="3"/>
    <n v="1"/>
    <n v="1"/>
    <n v="0"/>
    <s v="Laptop, Mobile"/>
    <s v="Yes"/>
    <s v="No"/>
    <s v="No"/>
    <s v="Family conversations"/>
  </r>
  <r>
    <d v="2026-08-06T09:09:18"/>
    <s v="Subhash Saha"/>
    <x v="2"/>
    <s v="Grandparent"/>
    <s v="Retired"/>
    <n v="2"/>
    <n v="0"/>
    <n v="1.5"/>
    <n v="0.5"/>
    <n v="0"/>
    <s v="Smart TV, Mobile"/>
    <s v="No"/>
    <s v="No"/>
    <s v="No"/>
    <s v="Morning walks"/>
  </r>
  <r>
    <d v="2026-08-06T09:12:56"/>
    <s v="Rohan Roy"/>
    <x v="0"/>
    <s v="Sibling"/>
    <s v="Software Engineer"/>
    <n v="10"/>
    <n v="7"/>
    <n v="1"/>
    <n v="1.5"/>
    <n v="0.5"/>
    <s v="Laptop, Mobile"/>
    <s v="Yes"/>
    <s v="Yes"/>
    <s v="Yes"/>
    <s v="Exercise"/>
  </r>
  <r>
    <d v="2026-08-06T09:16:20"/>
    <s v="Priya Deb"/>
    <x v="3"/>
    <s v="Child"/>
    <s v="Class XI Student"/>
    <n v="7"/>
    <n v="3"/>
    <n v="2"/>
    <n v="1"/>
    <n v="1"/>
    <s v="Mobile, Laptop"/>
    <s v="Yes"/>
    <s v="Yes"/>
    <s v="Yes"/>
    <s v="Outdoor games"/>
  </r>
  <r>
    <d v="2026-08-06T09:20:11"/>
    <s v="Sanjay Paul"/>
    <x v="1"/>
    <s v="Parent"/>
    <s v="Business Owner"/>
    <n v="6"/>
    <n v="4"/>
    <n v="1"/>
    <n v="1"/>
    <n v="0"/>
    <s v="Mobile, Laptop"/>
    <s v="Yes"/>
    <s v="No"/>
    <s v="No"/>
    <s v="Relaxation"/>
  </r>
  <r>
    <d v="2026-08-06T09:24:09"/>
    <s v="Nikita Sen"/>
    <x v="0"/>
    <s v="Other"/>
    <s v="Bank Employee"/>
    <n v="7"/>
    <n v="5"/>
    <n v="1"/>
    <n v="1"/>
    <n v="0"/>
    <s v="Laptop, Mobile"/>
    <s v="Yes"/>
    <s v="Yes"/>
    <s v="Not Sure"/>
    <s v="Sleep"/>
  </r>
  <r>
    <d v="2026-08-06T09:28:45"/>
    <s v="Akash Dey"/>
    <x v="0"/>
    <s v="Sibling"/>
    <s v="Job Seeker"/>
    <n v="9"/>
    <n v="4"/>
    <n v="2"/>
    <n v="2"/>
    <n v="1"/>
    <s v="Mobile, Laptop"/>
    <s v="Yes"/>
    <s v="Yes"/>
    <s v="Yes"/>
    <s v="Learning new skills"/>
  </r>
  <r>
    <d v="2026-08-06T09:32:03"/>
    <s v="Mousumi Das"/>
    <x v="1"/>
    <s v="Parent"/>
    <s v="Government Employee"/>
    <n v="6"/>
    <n v="4"/>
    <n v="1"/>
    <n v="1"/>
    <n v="0"/>
    <s v="Laptop, Mobile"/>
    <s v="Yes"/>
    <s v="No"/>
    <s v="No"/>
    <s v="Walking"/>
  </r>
  <r>
    <d v="2026-08-06T09:36:27"/>
    <s v="Gita Roy"/>
    <x v="2"/>
    <s v="Grandparent"/>
    <s v="Homemaker"/>
    <n v="3"/>
    <n v="0"/>
    <n v="2"/>
    <n v="1"/>
    <n v="0"/>
    <s v="Smart TV"/>
    <s v="No"/>
    <s v="No"/>
    <s v="No"/>
    <s v="Gardening"/>
  </r>
  <r>
    <d v="2026-08-06T09:40:50"/>
    <s v="Amit Sharma"/>
    <x v="0"/>
    <s v="Sibling"/>
    <s v="Analyst"/>
    <n v="8"/>
    <n v="5"/>
    <n v="1"/>
    <n v="1.5"/>
    <n v="0.5"/>
    <s v="Laptop, Mobile"/>
    <s v="Yes"/>
    <s v="Yes"/>
    <s v="Yes"/>
    <s v="Workout"/>
  </r>
  <r>
    <d v="2026-08-06T09:45:14"/>
    <s v="Riya Paul"/>
    <x v="3"/>
    <s v="Child"/>
    <s v="Class IX Student"/>
    <n v="6"/>
    <n v="3"/>
    <n v="1"/>
    <n v="1"/>
    <n v="1"/>
    <s v="Mobile"/>
    <s v="Yes"/>
    <s v="Yes"/>
    <s v="Not Sure"/>
    <s v="Cricket"/>
  </r>
  <r>
    <d v="2026-08-06T09:49:36"/>
    <s v="Meena Ghosh"/>
    <x v="1"/>
    <s v="Parent"/>
    <s v="Nurse"/>
    <n v="5"/>
    <n v="3"/>
    <n v="1"/>
    <n v="1"/>
    <n v="0"/>
    <s v="Mobile"/>
    <s v="Yes"/>
    <s v="No"/>
    <s v="No"/>
    <s v="Rest"/>
  </r>
  <r>
    <d v="2026-08-06T09:54:01"/>
    <s v="Abhishek Nath"/>
    <x v="0"/>
    <s v="Sibling"/>
    <s v="MBA Student"/>
    <n v="7"/>
    <n v="4"/>
    <n v="1"/>
    <n v="1.5"/>
    <n v="0.5"/>
    <s v="Laptop, Mobile"/>
    <s v="Yes"/>
    <s v="Yes"/>
    <s v="Yes"/>
    <s v="Sleep"/>
  </r>
  <r>
    <d v="2026-08-06T09:58:19"/>
    <s v="Sourav Dutta"/>
    <x v="0"/>
    <s v="Other"/>
    <s v="Sales Executive"/>
    <n v="8"/>
    <n v="5"/>
    <n v="1"/>
    <n v="1.5"/>
    <n v="0.5"/>
    <s v="Mobile, Laptop"/>
    <s v="Yes"/>
    <s v="Yes"/>
    <s v="Yes"/>
    <s v="Family time"/>
  </r>
  <r>
    <d v="2026-08-06T10:02:42"/>
    <s v="Kalpana Saha"/>
    <x v="2"/>
    <s v="Grandparent"/>
    <s v="Retired Teacher"/>
    <n v="3"/>
    <n v="0"/>
    <n v="2"/>
    <n v="1"/>
    <n v="0"/>
    <s v="Smart TV"/>
    <s v="No"/>
    <s v="No"/>
    <s v="No"/>
    <s v="Walking"/>
  </r>
  <r>
    <d v="2026-08-06T10:07:08"/>
    <s v="Dr. Arindam Sen"/>
    <x v="1"/>
    <s v="Parent"/>
    <s v="Doctor"/>
    <n v="8"/>
    <n v="6"/>
    <n v="1"/>
    <n v="1"/>
    <n v="0"/>
    <s v="Laptop, Mobile"/>
    <s v="Yes"/>
    <s v="Yes"/>
    <s v="Yes"/>
    <s v="Exercise"/>
  </r>
  <r>
    <d v="2026-08-06T10:11:33"/>
    <s v="Ritwik Das"/>
    <x v="0"/>
    <s v="Sibling"/>
    <s v="Engineer"/>
    <n v="9"/>
    <n v="6"/>
    <n v="1"/>
    <n v="1.5"/>
    <n v="0.5"/>
    <s v="Laptop, Mobile"/>
    <s v="Yes"/>
    <s v="Yes"/>
    <s v="Yes"/>
    <s v="Reading"/>
  </r>
  <r>
    <d v="2026-08-06T10:15:57"/>
    <s v="Tanmay Deb"/>
    <x v="3"/>
    <s v="Child"/>
    <s v="Class VIII Student"/>
    <n v="5"/>
    <n v="2"/>
    <n v="1"/>
    <n v="1"/>
    <n v="1"/>
    <s v="Mobile"/>
    <s v="Yes"/>
    <s v="No"/>
    <s v="Not Sure"/>
    <s v="Football"/>
  </r>
  <r>
    <d v="2026-08-06T10:20:16"/>
    <s v="Sharmila Roy"/>
    <x v="1"/>
    <s v="Parent"/>
    <s v="Homemaker"/>
    <n v="4"/>
    <n v="1"/>
    <n v="2"/>
    <n v="1"/>
    <n v="0"/>
    <s v="Mobile, Smart TV"/>
    <s v="Yes"/>
    <s v="No"/>
    <s v="No"/>
    <s v="Cooking"/>
  </r>
  <r>
    <d v="2026-08-06T10:24:48"/>
    <s v="Sneha Chakraborty"/>
    <x v="0"/>
    <s v="Sibling"/>
    <s v="Research Scholar"/>
    <n v="9"/>
    <n v="6"/>
    <n v="1"/>
    <n v="1.5"/>
    <n v="0.5"/>
    <s v="Laptop"/>
    <s v="Yes"/>
    <s v="Yes"/>
    <s v="Yes"/>
    <s v="Exercise"/>
  </r>
  <r>
    <d v="2026-08-06T10:29:13"/>
    <s v="Biswajit Paul"/>
    <x v="1"/>
    <s v="Parent"/>
    <s v="Accountant"/>
    <n v="7"/>
    <n v="5"/>
    <n v="1"/>
    <n v="1"/>
    <n v="0"/>
    <s v="Laptop, Mobile"/>
    <s v="Yes"/>
    <s v="Yes"/>
    <s v="Not Sure"/>
    <s v="Family dinners"/>
  </r>
  <r>
    <d v="2026-08-06T10:33:55"/>
    <s v="Poulomi Dey"/>
    <x v="0"/>
    <s v="Other"/>
    <s v="Marketing Executive"/>
    <n v="8"/>
    <n v="4"/>
    <n v="2"/>
    <n v="1.5"/>
    <n v="0.5"/>
    <s v="Laptop, Mobile"/>
    <s v="Yes"/>
    <s v="Yes"/>
    <s v="Yes"/>
    <s v="Reading"/>
  </r>
  <r>
    <d v="2026-08-06T10:38:22"/>
    <s v="Sunil Roy"/>
    <x v="2"/>
    <s v="Grandparent"/>
    <s v="Retired"/>
    <n v="2"/>
    <n v="0"/>
    <n v="1"/>
    <n v="1"/>
    <n v="0"/>
    <s v="Smart TV"/>
    <s v="No"/>
    <s v="No"/>
    <s v="No"/>
    <s v="Temple visits"/>
  </r>
  <r>
    <d v="2026-08-06T10:42:47"/>
    <s v="Ananya Saha"/>
    <x v="3"/>
    <s v="Child"/>
    <s v="Class XII Student"/>
    <n v="8"/>
    <n v="4"/>
    <n v="2"/>
    <n v="1"/>
    <n v="1"/>
    <s v="Mobile, Laptop"/>
    <s v="Yes"/>
    <s v="Yes"/>
    <s v="Yes"/>
    <s v="Outdoor games"/>
  </r>
  <r>
    <d v="2026-08-06T10:47:09"/>
    <s v="Prof. Debasis Das"/>
    <x v="1"/>
    <s v="Parent"/>
    <s v="Professor"/>
    <n v="6"/>
    <n v="5"/>
    <n v="0.5"/>
    <n v="0.5"/>
    <n v="0"/>
    <s v="Laptop"/>
    <s v="Yes"/>
    <s v="No"/>
    <s v="No"/>
    <s v="Family time"/>
  </r>
  <r>
    <d v="2026-08-06T10:51:36"/>
    <s v="Dibyendu Paul"/>
    <x v="0"/>
    <s v="Sibling"/>
    <s v="Data Analyst"/>
    <n v="9"/>
    <n v="6"/>
    <n v="1"/>
    <n v="1.5"/>
    <n v="0.5"/>
    <s v="Laptop, Mobile"/>
    <s v="Yes"/>
    <s v="Yes"/>
    <s v="Yes"/>
    <s v="Sleep"/>
  </r>
  <r>
    <d v="2026-08-06T10:56:01"/>
    <s v="Neha Ghosh"/>
    <x v="0"/>
    <s v="Other"/>
    <s v="HR Executive"/>
    <n v="7"/>
    <n v="5"/>
    <n v="1"/>
    <n v="1"/>
    <n v="0"/>
    <s v="Laptop, Mobile"/>
    <s v="Yes"/>
    <s v="No"/>
    <s v="Not Sure"/>
    <s v="Exercise"/>
  </r>
  <r>
    <d v="2026-08-06T11:00:28"/>
    <s v="Hemanta Deb"/>
    <x v="2"/>
    <s v="Grandparent"/>
    <s v="Farmer"/>
    <n v="2"/>
    <n v="0"/>
    <n v="1"/>
    <n v="0.5"/>
    <n v="0"/>
    <s v="Mobile"/>
    <s v="No"/>
    <s v="No"/>
    <s v="No"/>
    <s v="Nothing"/>
  </r>
  <r>
    <d v="2026-08-06T11:05:02"/>
    <s v="Rajesh Saha"/>
    <x v="1"/>
    <s v="Parent"/>
    <s v="Police Officer"/>
    <n v="6"/>
    <n v="4"/>
    <n v="1"/>
    <n v="1"/>
    <n v="0"/>
    <s v="Mobile"/>
    <s v="Yes"/>
    <s v="Yes"/>
    <s v="Not Sure"/>
    <s v="Relaxation"/>
  </r>
  <r>
    <d v="2026-08-06T11:09:41"/>
    <s v="Karan Roy"/>
    <x v="0"/>
    <s v="Sibling"/>
    <s v="Chartered Accountant"/>
    <n v="10"/>
    <n v="7"/>
    <n v="1"/>
    <n v="1.5"/>
    <n v="0.5"/>
    <s v="Laptop, Mobile"/>
    <s v="Yes"/>
    <s v="Yes"/>
    <s v="Yes"/>
    <s v="Gym"/>
  </r>
  <r>
    <d v="2026-08-06T11:14:05"/>
    <s v="Shruti Das"/>
    <x v="3"/>
    <s v="Child"/>
    <s v="Class X Student"/>
    <n v="6"/>
    <n v="3"/>
    <n v="1"/>
    <n v="1"/>
    <n v="1"/>
    <s v="Mobile"/>
    <s v="Yes"/>
    <s v="Yes"/>
    <s v="Yes"/>
    <s v="Playing outside"/>
  </r>
  <r>
    <d v="2026-08-06T11:18:36"/>
    <s v="Supriya Sen"/>
    <x v="1"/>
    <s v="Parent"/>
    <s v="Private Employee"/>
    <n v="7"/>
    <n v="5"/>
    <n v="1"/>
    <n v="1"/>
    <n v="0"/>
    <s v="Laptop, Mobile"/>
    <s v="Yes"/>
    <s v="No"/>
    <s v="Not Sure"/>
    <s v="Reading books"/>
  </r>
  <r>
    <d v="2026-08-06T11:23:18"/>
    <s v="Vikram Nath"/>
    <x v="0"/>
    <s v="Other"/>
    <s v="Entrepreneur"/>
    <n v="9"/>
    <n v="5"/>
    <n v="2"/>
    <n v="1.5"/>
    <n v="0.5"/>
    <s v="Laptop, Mobile"/>
    <s v="Yes"/>
    <s v="Yes"/>
    <s v="Yes"/>
    <s v="Meeting friends"/>
  </r>
  <r>
    <d v="2026-08-06T11:27:52"/>
    <s v="Prabir Chakraborty"/>
    <x v="2"/>
    <s v="Grandparent"/>
    <s v="Retired Banker"/>
    <n v="3"/>
    <n v="0"/>
    <n v="2"/>
    <n v="1"/>
    <n v="0"/>
    <s v="Smart TV, Mobile"/>
    <s v="No"/>
    <s v="No"/>
    <s v="No"/>
    <s v="Morning walk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6-08-06T09:02:14"/>
    <s v="Rahul Das"/>
    <x v="0"/>
    <s v="Sibling"/>
    <s v="MBA Student"/>
    <n v="8"/>
    <n v="4"/>
    <n v="2"/>
    <n v="1.5"/>
    <n v="0.5"/>
    <s v="Mobile, Laptop"/>
    <s v="Yes"/>
    <s v="Yes"/>
    <x v="0"/>
    <s v="Reading books"/>
  </r>
  <r>
    <d v="2026-08-06T09:05:41"/>
    <s v="Anita Saha"/>
    <x v="1"/>
    <s v="Parent"/>
    <s v="Teacher"/>
    <n v="5"/>
    <n v="3"/>
    <n v="1"/>
    <n v="1"/>
    <n v="0"/>
    <s v="Laptop, Mobile"/>
    <s v="Yes"/>
    <s v="No"/>
    <x v="1"/>
    <s v="Family conversations"/>
  </r>
  <r>
    <d v="2026-08-06T09:09:18"/>
    <s v="Subhash Saha"/>
    <x v="2"/>
    <s v="Grandparent"/>
    <s v="Retired"/>
    <n v="2"/>
    <n v="0"/>
    <n v="1.5"/>
    <n v="0.5"/>
    <n v="0"/>
    <s v="Smart TV, Mobile"/>
    <s v="No"/>
    <s v="No"/>
    <x v="1"/>
    <s v="Morning walks"/>
  </r>
  <r>
    <d v="2026-08-06T09:12:56"/>
    <s v="Rohan Roy"/>
    <x v="0"/>
    <s v="Sibling"/>
    <s v="Software Engineer"/>
    <n v="10"/>
    <n v="7"/>
    <n v="1"/>
    <n v="1.5"/>
    <n v="0.5"/>
    <s v="Laptop, Mobile"/>
    <s v="Yes"/>
    <s v="Yes"/>
    <x v="0"/>
    <s v="Exercise"/>
  </r>
  <r>
    <d v="2026-08-06T09:16:20"/>
    <s v="Priya Deb"/>
    <x v="3"/>
    <s v="Child"/>
    <s v="Class XI Student"/>
    <n v="7"/>
    <n v="3"/>
    <n v="2"/>
    <n v="1"/>
    <n v="1"/>
    <s v="Mobile, Laptop"/>
    <s v="Yes"/>
    <s v="Yes"/>
    <x v="0"/>
    <s v="Outdoor games"/>
  </r>
  <r>
    <d v="2026-08-06T09:20:11"/>
    <s v="Sanjay Paul"/>
    <x v="1"/>
    <s v="Parent"/>
    <s v="Business Owner"/>
    <n v="6"/>
    <n v="4"/>
    <n v="1"/>
    <n v="1"/>
    <n v="0"/>
    <s v="Mobile, Laptop"/>
    <s v="Yes"/>
    <s v="No"/>
    <x v="1"/>
    <s v="Relaxation"/>
  </r>
  <r>
    <d v="2026-08-06T09:24:09"/>
    <s v="Nikita Sen"/>
    <x v="0"/>
    <s v="Other"/>
    <s v="Bank Employee"/>
    <n v="7"/>
    <n v="5"/>
    <n v="1"/>
    <n v="1"/>
    <n v="0"/>
    <s v="Laptop, Mobile"/>
    <s v="Yes"/>
    <s v="Yes"/>
    <x v="2"/>
    <s v="Sleep"/>
  </r>
  <r>
    <d v="2026-08-06T09:28:45"/>
    <s v="Akash Dey"/>
    <x v="0"/>
    <s v="Sibling"/>
    <s v="Job Seeker"/>
    <n v="9"/>
    <n v="4"/>
    <n v="2"/>
    <n v="2"/>
    <n v="1"/>
    <s v="Mobile, Laptop"/>
    <s v="Yes"/>
    <s v="Yes"/>
    <x v="0"/>
    <s v="Learning new skills"/>
  </r>
  <r>
    <d v="2026-08-06T09:32:03"/>
    <s v="Mousumi Das"/>
    <x v="1"/>
    <s v="Parent"/>
    <s v="Government Employee"/>
    <n v="6"/>
    <n v="4"/>
    <n v="1"/>
    <n v="1"/>
    <n v="0"/>
    <s v="Laptop, Mobile"/>
    <s v="Yes"/>
    <s v="No"/>
    <x v="1"/>
    <s v="Walking"/>
  </r>
  <r>
    <d v="2026-08-06T09:36:27"/>
    <s v="Gita Roy"/>
    <x v="2"/>
    <s v="Grandparent"/>
    <s v="Homemaker"/>
    <n v="3"/>
    <n v="0"/>
    <n v="2"/>
    <n v="1"/>
    <n v="0"/>
    <s v="Smart TV"/>
    <s v="No"/>
    <s v="No"/>
    <x v="1"/>
    <s v="Gardening"/>
  </r>
  <r>
    <d v="2026-08-06T09:40:50"/>
    <s v="Amit Sharma"/>
    <x v="0"/>
    <s v="Sibling"/>
    <s v="Analyst"/>
    <n v="8"/>
    <n v="5"/>
    <n v="1"/>
    <n v="1.5"/>
    <n v="0.5"/>
    <s v="Laptop, Mobile"/>
    <s v="Yes"/>
    <s v="Yes"/>
    <x v="0"/>
    <s v="Workout"/>
  </r>
  <r>
    <d v="2026-08-06T09:45:14"/>
    <s v="Riya Paul"/>
    <x v="3"/>
    <s v="Child"/>
    <s v="Class IX Student"/>
    <n v="6"/>
    <n v="3"/>
    <n v="1"/>
    <n v="1"/>
    <n v="1"/>
    <s v="Mobile"/>
    <s v="Yes"/>
    <s v="Yes"/>
    <x v="2"/>
    <s v="Cricket"/>
  </r>
  <r>
    <d v="2026-08-06T09:49:36"/>
    <s v="Meena Ghosh"/>
    <x v="1"/>
    <s v="Parent"/>
    <s v="Nurse"/>
    <n v="5"/>
    <n v="3"/>
    <n v="1"/>
    <n v="1"/>
    <n v="0"/>
    <s v="Mobile"/>
    <s v="Yes"/>
    <s v="No"/>
    <x v="1"/>
    <s v="Rest"/>
  </r>
  <r>
    <d v="2026-08-06T09:54:01"/>
    <s v="Abhishek Nath"/>
    <x v="0"/>
    <s v="Sibling"/>
    <s v="MBA Student"/>
    <n v="7"/>
    <n v="4"/>
    <n v="1"/>
    <n v="1.5"/>
    <n v="0.5"/>
    <s v="Laptop, Mobile"/>
    <s v="Yes"/>
    <s v="Yes"/>
    <x v="0"/>
    <s v="Sleep"/>
  </r>
  <r>
    <d v="2026-08-06T09:58:19"/>
    <s v="Sourav Dutta"/>
    <x v="0"/>
    <s v="Other"/>
    <s v="Sales Executive"/>
    <n v="8"/>
    <n v="5"/>
    <n v="1"/>
    <n v="1.5"/>
    <n v="0.5"/>
    <s v="Mobile, Laptop"/>
    <s v="Yes"/>
    <s v="Yes"/>
    <x v="0"/>
    <s v="Family time"/>
  </r>
  <r>
    <d v="2026-08-06T10:02:42"/>
    <s v="Kalpana Saha"/>
    <x v="2"/>
    <s v="Grandparent"/>
    <s v="Retired Teacher"/>
    <n v="3"/>
    <n v="0"/>
    <n v="2"/>
    <n v="1"/>
    <n v="0"/>
    <s v="Smart TV"/>
    <s v="No"/>
    <s v="No"/>
    <x v="1"/>
    <s v="Walking"/>
  </r>
  <r>
    <d v="2026-08-06T10:07:08"/>
    <s v="Dr. Arindam Sen"/>
    <x v="1"/>
    <s v="Parent"/>
    <s v="Doctor"/>
    <n v="8"/>
    <n v="6"/>
    <n v="1"/>
    <n v="1"/>
    <n v="0"/>
    <s v="Laptop, Mobile"/>
    <s v="Yes"/>
    <s v="Yes"/>
    <x v="0"/>
    <s v="Exercise"/>
  </r>
  <r>
    <d v="2026-08-06T10:11:33"/>
    <s v="Ritwik Das"/>
    <x v="0"/>
    <s v="Sibling"/>
    <s v="Engineer"/>
    <n v="9"/>
    <n v="6"/>
    <n v="1"/>
    <n v="1.5"/>
    <n v="0.5"/>
    <s v="Laptop, Mobile"/>
    <s v="Yes"/>
    <s v="Yes"/>
    <x v="0"/>
    <s v="Reading"/>
  </r>
  <r>
    <d v="2026-08-06T10:15:57"/>
    <s v="Tanmay Deb"/>
    <x v="3"/>
    <s v="Child"/>
    <s v="Class VIII Student"/>
    <n v="5"/>
    <n v="2"/>
    <n v="1"/>
    <n v="1"/>
    <n v="1"/>
    <s v="Mobile"/>
    <s v="Yes"/>
    <s v="No"/>
    <x v="2"/>
    <s v="Football"/>
  </r>
  <r>
    <d v="2026-08-06T10:20:16"/>
    <s v="Sharmila Roy"/>
    <x v="1"/>
    <s v="Parent"/>
    <s v="Homemaker"/>
    <n v="4"/>
    <n v="1"/>
    <n v="2"/>
    <n v="1"/>
    <n v="0"/>
    <s v="Mobile, Smart TV"/>
    <s v="Yes"/>
    <s v="No"/>
    <x v="1"/>
    <s v="Cooking"/>
  </r>
  <r>
    <d v="2026-08-06T10:24:48"/>
    <s v="Sneha Chakraborty"/>
    <x v="0"/>
    <s v="Sibling"/>
    <s v="Research Scholar"/>
    <n v="9"/>
    <n v="6"/>
    <n v="1"/>
    <n v="1.5"/>
    <n v="0.5"/>
    <s v="Laptop"/>
    <s v="Yes"/>
    <s v="Yes"/>
    <x v="0"/>
    <s v="Exercise"/>
  </r>
  <r>
    <d v="2026-08-06T10:29:13"/>
    <s v="Biswajit Paul"/>
    <x v="1"/>
    <s v="Parent"/>
    <s v="Accountant"/>
    <n v="7"/>
    <n v="5"/>
    <n v="1"/>
    <n v="1"/>
    <n v="0"/>
    <s v="Laptop, Mobile"/>
    <s v="Yes"/>
    <s v="Yes"/>
    <x v="2"/>
    <s v="Family dinners"/>
  </r>
  <r>
    <d v="2026-08-06T10:33:55"/>
    <s v="Poulomi Dey"/>
    <x v="0"/>
    <s v="Other"/>
    <s v="Marketing Executive"/>
    <n v="8"/>
    <n v="4"/>
    <n v="2"/>
    <n v="1.5"/>
    <n v="0.5"/>
    <s v="Laptop, Mobile"/>
    <s v="Yes"/>
    <s v="Yes"/>
    <x v="0"/>
    <s v="Reading"/>
  </r>
  <r>
    <d v="2026-08-06T10:38:22"/>
    <s v="Sunil Roy"/>
    <x v="2"/>
    <s v="Grandparent"/>
    <s v="Retired"/>
    <n v="2"/>
    <n v="0"/>
    <n v="1"/>
    <n v="1"/>
    <n v="0"/>
    <s v="Smart TV"/>
    <s v="No"/>
    <s v="No"/>
    <x v="1"/>
    <s v="Temple visits"/>
  </r>
  <r>
    <d v="2026-08-06T10:42:47"/>
    <s v="Ananya Saha"/>
    <x v="3"/>
    <s v="Child"/>
    <s v="Class XII Student"/>
    <n v="8"/>
    <n v="4"/>
    <n v="2"/>
    <n v="1"/>
    <n v="1"/>
    <s v="Mobile, Laptop"/>
    <s v="Yes"/>
    <s v="Yes"/>
    <x v="0"/>
    <s v="Outdoor games"/>
  </r>
  <r>
    <d v="2026-08-06T10:47:09"/>
    <s v="Prof. Debasis Das"/>
    <x v="1"/>
    <s v="Parent"/>
    <s v="Professor"/>
    <n v="6"/>
    <n v="5"/>
    <n v="0.5"/>
    <n v="0.5"/>
    <n v="0"/>
    <s v="Laptop"/>
    <s v="Yes"/>
    <s v="No"/>
    <x v="1"/>
    <s v="Family time"/>
  </r>
  <r>
    <d v="2026-08-06T10:51:36"/>
    <s v="Dibyendu Paul"/>
    <x v="0"/>
    <s v="Sibling"/>
    <s v="Data Analyst"/>
    <n v="9"/>
    <n v="6"/>
    <n v="1"/>
    <n v="1.5"/>
    <n v="0.5"/>
    <s v="Laptop, Mobile"/>
    <s v="Yes"/>
    <s v="Yes"/>
    <x v="0"/>
    <s v="Sleep"/>
  </r>
  <r>
    <d v="2026-08-06T10:56:01"/>
    <s v="Neha Ghosh"/>
    <x v="0"/>
    <s v="Other"/>
    <s v="HR Executive"/>
    <n v="7"/>
    <n v="5"/>
    <n v="1"/>
    <n v="1"/>
    <n v="0"/>
    <s v="Laptop, Mobile"/>
    <s v="Yes"/>
    <s v="No"/>
    <x v="2"/>
    <s v="Exercise"/>
  </r>
  <r>
    <d v="2026-08-06T11:00:28"/>
    <s v="Hemanta Deb"/>
    <x v="2"/>
    <s v="Grandparent"/>
    <s v="Farmer"/>
    <n v="2"/>
    <n v="0"/>
    <n v="1"/>
    <n v="0.5"/>
    <n v="0"/>
    <s v="Mobile"/>
    <s v="No"/>
    <s v="No"/>
    <x v="1"/>
    <s v="Nothing"/>
  </r>
  <r>
    <d v="2026-08-06T11:05:02"/>
    <s v="Rajesh Saha"/>
    <x v="1"/>
    <s v="Parent"/>
    <s v="Police Officer"/>
    <n v="6"/>
    <n v="4"/>
    <n v="1"/>
    <n v="1"/>
    <n v="0"/>
    <s v="Mobile"/>
    <s v="Yes"/>
    <s v="Yes"/>
    <x v="2"/>
    <s v="Relaxation"/>
  </r>
  <r>
    <d v="2026-08-06T11:09:41"/>
    <s v="Karan Roy"/>
    <x v="0"/>
    <s v="Sibling"/>
    <s v="Chartered Accountant"/>
    <n v="10"/>
    <n v="7"/>
    <n v="1"/>
    <n v="1.5"/>
    <n v="0.5"/>
    <s v="Laptop, Mobile"/>
    <s v="Yes"/>
    <s v="Yes"/>
    <x v="0"/>
    <s v="Gym"/>
  </r>
  <r>
    <d v="2026-08-06T11:14:05"/>
    <s v="Shruti Das"/>
    <x v="3"/>
    <s v="Child"/>
    <s v="Class X Student"/>
    <n v="6"/>
    <n v="3"/>
    <n v="1"/>
    <n v="1"/>
    <n v="1"/>
    <s v="Mobile"/>
    <s v="Yes"/>
    <s v="Yes"/>
    <x v="0"/>
    <s v="Playing outside"/>
  </r>
  <r>
    <d v="2026-08-06T11:18:36"/>
    <s v="Supriya Sen"/>
    <x v="1"/>
    <s v="Parent"/>
    <s v="Private Employee"/>
    <n v="7"/>
    <n v="5"/>
    <n v="1"/>
    <n v="1"/>
    <n v="0"/>
    <s v="Laptop, Mobile"/>
    <s v="Yes"/>
    <s v="No"/>
    <x v="2"/>
    <s v="Reading books"/>
  </r>
  <r>
    <d v="2026-08-06T11:23:18"/>
    <s v="Vikram Nath"/>
    <x v="0"/>
    <s v="Other"/>
    <s v="Entrepreneur"/>
    <n v="9"/>
    <n v="5"/>
    <n v="2"/>
    <n v="1.5"/>
    <n v="0.5"/>
    <s v="Laptop, Mobile"/>
    <s v="Yes"/>
    <s v="Yes"/>
    <x v="0"/>
    <s v="Meeting friends"/>
  </r>
  <r>
    <d v="2026-08-06T11:27:52"/>
    <s v="Prabir Chakraborty"/>
    <x v="2"/>
    <s v="Grandparent"/>
    <s v="Retired Banker"/>
    <n v="3"/>
    <n v="0"/>
    <n v="2"/>
    <n v="1"/>
    <n v="0"/>
    <s v="Smart TV, Mobile"/>
    <s v="No"/>
    <s v="No"/>
    <x v="1"/>
    <s v="Morning walk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6-08-06T09:02:14"/>
    <s v="Rahul Das"/>
    <x v="0"/>
    <s v="Sibling"/>
    <s v="MBA Student"/>
    <n v="8"/>
    <n v="4"/>
    <n v="2"/>
    <n v="1.5"/>
    <n v="0.5"/>
    <s v="Mobile, Laptop"/>
    <s v="Yes"/>
    <s v="Yes"/>
    <s v="Yes"/>
    <s v="Reading books"/>
    <n v="1"/>
    <n v="1"/>
    <x v="0"/>
  </r>
  <r>
    <d v="2026-08-06T09:05:41"/>
    <s v="Anita Saha"/>
    <x v="1"/>
    <s v="Parent"/>
    <s v="Teacher"/>
    <n v="5"/>
    <n v="3"/>
    <n v="1"/>
    <n v="1"/>
    <n v="0"/>
    <s v="Laptop, Mobile"/>
    <s v="Yes"/>
    <s v="No"/>
    <s v="No"/>
    <s v="Family conversations"/>
    <n v="0"/>
    <n v="0"/>
    <x v="0"/>
  </r>
  <r>
    <d v="2026-08-06T09:09:18"/>
    <s v="Subhash Saha"/>
    <x v="2"/>
    <s v="Grandparent"/>
    <s v="Retired"/>
    <n v="2"/>
    <n v="0"/>
    <n v="1.5"/>
    <n v="0.5"/>
    <n v="0"/>
    <s v="Smart TV, Mobile"/>
    <s v="No"/>
    <s v="No"/>
    <s v="No"/>
    <s v="Morning walks"/>
    <n v="0"/>
    <n v="0"/>
    <x v="0"/>
  </r>
  <r>
    <d v="2026-08-06T09:12:56"/>
    <s v="Rohan Roy"/>
    <x v="0"/>
    <s v="Sibling"/>
    <s v="Software Engineer"/>
    <n v="10"/>
    <n v="7"/>
    <n v="1"/>
    <n v="1.5"/>
    <n v="0.5"/>
    <s v="Laptop, Mobile"/>
    <s v="Yes"/>
    <s v="Yes"/>
    <s v="Yes"/>
    <s v="Exercise"/>
    <n v="1"/>
    <n v="1"/>
    <x v="0"/>
  </r>
  <r>
    <d v="2026-08-06T09:16:20"/>
    <s v="Priya Deb"/>
    <x v="3"/>
    <s v="Child"/>
    <s v="Class XI Student"/>
    <n v="7"/>
    <n v="3"/>
    <n v="2"/>
    <n v="1"/>
    <n v="1"/>
    <s v="Mobile, Laptop"/>
    <s v="Yes"/>
    <s v="Yes"/>
    <s v="Yes"/>
    <s v="Outdoor games"/>
    <n v="1"/>
    <n v="1"/>
    <x v="0"/>
  </r>
  <r>
    <d v="2026-08-06T09:20:11"/>
    <s v="Sanjay Paul"/>
    <x v="1"/>
    <s v="Parent"/>
    <s v="Business Owner"/>
    <n v="6"/>
    <n v="4"/>
    <n v="1"/>
    <n v="1"/>
    <n v="0"/>
    <s v="Mobile, Laptop"/>
    <s v="Yes"/>
    <s v="No"/>
    <s v="No"/>
    <s v="Relaxation"/>
    <n v="0"/>
    <n v="0"/>
    <x v="0"/>
  </r>
  <r>
    <d v="2026-08-06T09:24:09"/>
    <s v="Nikita Sen"/>
    <x v="0"/>
    <s v="Other"/>
    <s v="Bank Employee"/>
    <n v="7"/>
    <n v="5"/>
    <n v="1"/>
    <n v="1"/>
    <n v="0"/>
    <s v="Laptop, Mobile"/>
    <s v="Yes"/>
    <s v="Yes"/>
    <s v="Not Sure"/>
    <s v="Sleep"/>
    <n v="1"/>
    <n v="0"/>
    <x v="1"/>
  </r>
  <r>
    <d v="2026-08-06T09:28:45"/>
    <s v="Akash Dey"/>
    <x v="0"/>
    <s v="Sibling"/>
    <s v="Job Seeker"/>
    <n v="9"/>
    <n v="4"/>
    <n v="2"/>
    <n v="2"/>
    <n v="1"/>
    <s v="Mobile, Laptop"/>
    <s v="Yes"/>
    <s v="Yes"/>
    <s v="Yes"/>
    <s v="Learning new skills"/>
    <n v="1"/>
    <n v="1"/>
    <x v="0"/>
  </r>
  <r>
    <d v="2026-08-06T09:32:03"/>
    <s v="Mousumi Das"/>
    <x v="1"/>
    <s v="Parent"/>
    <s v="Government Employee"/>
    <n v="6"/>
    <n v="4"/>
    <n v="1"/>
    <n v="1"/>
    <n v="0"/>
    <s v="Laptop, Mobile"/>
    <s v="Yes"/>
    <s v="No"/>
    <s v="No"/>
    <s v="Walking"/>
    <n v="0"/>
    <n v="0"/>
    <x v="0"/>
  </r>
  <r>
    <d v="2026-08-06T09:36:27"/>
    <s v="Gita Roy"/>
    <x v="2"/>
    <s v="Grandparent"/>
    <s v="Homemaker"/>
    <n v="3"/>
    <n v="0"/>
    <n v="2"/>
    <n v="1"/>
    <n v="0"/>
    <s v="Smart TV"/>
    <s v="No"/>
    <s v="No"/>
    <s v="No"/>
    <s v="Gardening"/>
    <n v="0"/>
    <n v="0"/>
    <x v="0"/>
  </r>
  <r>
    <d v="2026-08-06T09:40:50"/>
    <s v="Amit Sharma"/>
    <x v="0"/>
    <s v="Sibling"/>
    <s v="Analyst"/>
    <n v="8"/>
    <n v="5"/>
    <n v="1"/>
    <n v="1.5"/>
    <n v="0.5"/>
    <s v="Laptop, Mobile"/>
    <s v="Yes"/>
    <s v="Yes"/>
    <s v="Yes"/>
    <s v="Workout"/>
    <n v="1"/>
    <n v="1"/>
    <x v="0"/>
  </r>
  <r>
    <d v="2026-08-06T09:45:14"/>
    <s v="Riya Paul"/>
    <x v="3"/>
    <s v="Child"/>
    <s v="Class IX Student"/>
    <n v="6"/>
    <n v="3"/>
    <n v="1"/>
    <n v="1"/>
    <n v="1"/>
    <s v="Mobile"/>
    <s v="Yes"/>
    <s v="Yes"/>
    <s v="Not Sure"/>
    <s v="Cricket"/>
    <n v="1"/>
    <n v="0"/>
    <x v="1"/>
  </r>
  <r>
    <d v="2026-08-06T09:49:36"/>
    <s v="Meena Ghosh"/>
    <x v="1"/>
    <s v="Parent"/>
    <s v="Nurse"/>
    <n v="5"/>
    <n v="3"/>
    <n v="1"/>
    <n v="1"/>
    <n v="0"/>
    <s v="Mobile"/>
    <s v="Yes"/>
    <s v="No"/>
    <s v="No"/>
    <s v="Rest"/>
    <n v="0"/>
    <n v="0"/>
    <x v="0"/>
  </r>
  <r>
    <d v="2026-08-06T09:54:01"/>
    <s v="Abhishek Nath"/>
    <x v="0"/>
    <s v="Sibling"/>
    <s v="MBA Student"/>
    <n v="7"/>
    <n v="4"/>
    <n v="1"/>
    <n v="1.5"/>
    <n v="0.5"/>
    <s v="Laptop, Mobile"/>
    <s v="Yes"/>
    <s v="Yes"/>
    <s v="Yes"/>
    <s v="Sleep"/>
    <n v="1"/>
    <n v="1"/>
    <x v="0"/>
  </r>
  <r>
    <d v="2026-08-06T09:58:19"/>
    <s v="Sourav Dutta"/>
    <x v="0"/>
    <s v="Other"/>
    <s v="Sales Executive"/>
    <n v="8"/>
    <n v="5"/>
    <n v="1"/>
    <n v="1.5"/>
    <n v="0.5"/>
    <s v="Mobile, Laptop"/>
    <s v="Yes"/>
    <s v="Yes"/>
    <s v="Yes"/>
    <s v="Family time"/>
    <n v="1"/>
    <n v="1"/>
    <x v="0"/>
  </r>
  <r>
    <d v="2026-08-06T10:02:42"/>
    <s v="Kalpana Saha"/>
    <x v="2"/>
    <s v="Grandparent"/>
    <s v="Retired Teacher"/>
    <n v="3"/>
    <n v="0"/>
    <n v="2"/>
    <n v="1"/>
    <n v="0"/>
    <s v="Smart TV"/>
    <s v="No"/>
    <s v="No"/>
    <s v="No"/>
    <s v="Walking"/>
    <n v="0"/>
    <n v="0"/>
    <x v="0"/>
  </r>
  <r>
    <d v="2026-08-06T10:07:08"/>
    <s v="Dr. Arindam Sen"/>
    <x v="1"/>
    <s v="Parent"/>
    <s v="Doctor"/>
    <n v="8"/>
    <n v="6"/>
    <n v="1"/>
    <n v="1"/>
    <n v="0"/>
    <s v="Laptop, Mobile"/>
    <s v="Yes"/>
    <s v="Yes"/>
    <s v="Yes"/>
    <s v="Exercise"/>
    <n v="1"/>
    <n v="1"/>
    <x v="0"/>
  </r>
  <r>
    <d v="2026-08-06T10:11:33"/>
    <s v="Ritwik Das"/>
    <x v="0"/>
    <s v="Sibling"/>
    <s v="Engineer"/>
    <n v="9"/>
    <n v="6"/>
    <n v="1"/>
    <n v="1.5"/>
    <n v="0.5"/>
    <s v="Laptop, Mobile"/>
    <s v="Yes"/>
    <s v="Yes"/>
    <s v="Yes"/>
    <s v="Reading"/>
    <n v="1"/>
    <n v="1"/>
    <x v="0"/>
  </r>
  <r>
    <d v="2026-08-06T10:15:57"/>
    <s v="Tanmay Deb"/>
    <x v="3"/>
    <s v="Child"/>
    <s v="Class VIII Student"/>
    <n v="5"/>
    <n v="2"/>
    <n v="1"/>
    <n v="1"/>
    <n v="1"/>
    <s v="Mobile"/>
    <s v="Yes"/>
    <s v="No"/>
    <s v="Not Sure"/>
    <s v="Football"/>
    <n v="0"/>
    <n v="0"/>
    <x v="1"/>
  </r>
  <r>
    <d v="2026-08-06T10:20:16"/>
    <s v="Sharmila Roy"/>
    <x v="1"/>
    <s v="Parent"/>
    <s v="Homemaker"/>
    <n v="4"/>
    <n v="1"/>
    <n v="2"/>
    <n v="1"/>
    <n v="0"/>
    <s v="Mobile, Smart TV"/>
    <s v="Yes"/>
    <s v="No"/>
    <s v="No"/>
    <s v="Cooking"/>
    <n v="0"/>
    <n v="0"/>
    <x v="0"/>
  </r>
  <r>
    <d v="2026-08-06T10:24:48"/>
    <s v="Sneha Chakraborty"/>
    <x v="0"/>
    <s v="Sibling"/>
    <s v="Research Scholar"/>
    <n v="9"/>
    <n v="6"/>
    <n v="1"/>
    <n v="1.5"/>
    <n v="0.5"/>
    <s v="Laptop"/>
    <s v="Yes"/>
    <s v="Yes"/>
    <s v="Yes"/>
    <s v="Exercise"/>
    <n v="1"/>
    <n v="1"/>
    <x v="0"/>
  </r>
  <r>
    <d v="2026-08-06T10:29:13"/>
    <s v="Biswajit Paul"/>
    <x v="1"/>
    <s v="Parent"/>
    <s v="Accountant"/>
    <n v="7"/>
    <n v="5"/>
    <n v="1"/>
    <n v="1"/>
    <n v="0"/>
    <s v="Laptop, Mobile"/>
    <s v="Yes"/>
    <s v="Yes"/>
    <s v="Not Sure"/>
    <s v="Family dinners"/>
    <n v="1"/>
    <n v="0"/>
    <x v="1"/>
  </r>
  <r>
    <d v="2026-08-06T10:33:55"/>
    <s v="Poulomi Dey"/>
    <x v="0"/>
    <s v="Other"/>
    <s v="Marketing Executive"/>
    <n v="8"/>
    <n v="4"/>
    <n v="2"/>
    <n v="1.5"/>
    <n v="0.5"/>
    <s v="Laptop, Mobile"/>
    <s v="Yes"/>
    <s v="Yes"/>
    <s v="Yes"/>
    <s v="Reading"/>
    <n v="1"/>
    <n v="1"/>
    <x v="0"/>
  </r>
  <r>
    <d v="2026-08-06T10:38:22"/>
    <s v="Sunil Roy"/>
    <x v="2"/>
    <s v="Grandparent"/>
    <s v="Retired"/>
    <n v="2"/>
    <n v="0"/>
    <n v="1"/>
    <n v="1"/>
    <n v="0"/>
    <s v="Smart TV"/>
    <s v="No"/>
    <s v="No"/>
    <s v="No"/>
    <s v="Temple visits"/>
    <n v="0"/>
    <n v="0"/>
    <x v="0"/>
  </r>
  <r>
    <d v="2026-08-06T10:42:47"/>
    <s v="Ananya Saha"/>
    <x v="3"/>
    <s v="Child"/>
    <s v="Class XII Student"/>
    <n v="8"/>
    <n v="4"/>
    <n v="2"/>
    <n v="1"/>
    <n v="1"/>
    <s v="Mobile, Laptop"/>
    <s v="Yes"/>
    <s v="Yes"/>
    <s v="Yes"/>
    <s v="Outdoor games"/>
    <n v="1"/>
    <n v="1"/>
    <x v="0"/>
  </r>
  <r>
    <d v="2026-08-06T10:47:09"/>
    <s v="Prof. Debasis Das"/>
    <x v="1"/>
    <s v="Parent"/>
    <s v="Professor"/>
    <n v="6"/>
    <n v="5"/>
    <n v="0.5"/>
    <n v="0.5"/>
    <n v="0"/>
    <s v="Laptop"/>
    <s v="Yes"/>
    <s v="No"/>
    <s v="No"/>
    <s v="Family time"/>
    <n v="0"/>
    <n v="0"/>
    <x v="0"/>
  </r>
  <r>
    <d v="2026-08-06T10:51:36"/>
    <s v="Dibyendu Paul"/>
    <x v="0"/>
    <s v="Sibling"/>
    <s v="Data Analyst"/>
    <n v="9"/>
    <n v="6"/>
    <n v="1"/>
    <n v="1.5"/>
    <n v="0.5"/>
    <s v="Laptop, Mobile"/>
    <s v="Yes"/>
    <s v="Yes"/>
    <s v="Yes"/>
    <s v="Sleep"/>
    <n v="1"/>
    <n v="1"/>
    <x v="0"/>
  </r>
  <r>
    <d v="2026-08-06T10:56:01"/>
    <s v="Neha Ghosh"/>
    <x v="0"/>
    <s v="Other"/>
    <s v="HR Executive"/>
    <n v="7"/>
    <n v="5"/>
    <n v="1"/>
    <n v="1"/>
    <n v="0"/>
    <s v="Laptop, Mobile"/>
    <s v="Yes"/>
    <s v="No"/>
    <s v="Not Sure"/>
    <s v="Exercise"/>
    <n v="0"/>
    <n v="0"/>
    <x v="1"/>
  </r>
  <r>
    <d v="2026-08-06T11:00:28"/>
    <s v="Hemanta Deb"/>
    <x v="2"/>
    <s v="Grandparent"/>
    <s v="Farmer"/>
    <n v="2"/>
    <n v="0"/>
    <n v="1"/>
    <n v="0.5"/>
    <n v="0"/>
    <s v="Mobile"/>
    <s v="No"/>
    <s v="No"/>
    <s v="No"/>
    <s v="Nothing"/>
    <n v="0"/>
    <n v="0"/>
    <x v="0"/>
  </r>
  <r>
    <d v="2026-08-06T11:05:02"/>
    <s v="Rajesh Saha"/>
    <x v="1"/>
    <s v="Parent"/>
    <s v="Police Officer"/>
    <n v="6"/>
    <n v="4"/>
    <n v="1"/>
    <n v="1"/>
    <n v="0"/>
    <s v="Mobile"/>
    <s v="Yes"/>
    <s v="Yes"/>
    <s v="Not Sure"/>
    <s v="Relaxation"/>
    <n v="1"/>
    <n v="0"/>
    <x v="1"/>
  </r>
  <r>
    <d v="2026-08-06T11:09:41"/>
    <s v="Karan Roy"/>
    <x v="0"/>
    <s v="Sibling"/>
    <s v="Chartered Accountant"/>
    <n v="10"/>
    <n v="7"/>
    <n v="1"/>
    <n v="1.5"/>
    <n v="0.5"/>
    <s v="Laptop, Mobile"/>
    <s v="Yes"/>
    <s v="Yes"/>
    <s v="Yes"/>
    <s v="Gym"/>
    <n v="1"/>
    <n v="1"/>
    <x v="0"/>
  </r>
  <r>
    <d v="2026-08-06T11:14:05"/>
    <s v="Shruti Das"/>
    <x v="3"/>
    <s v="Child"/>
    <s v="Class X Student"/>
    <n v="6"/>
    <n v="3"/>
    <n v="1"/>
    <n v="1"/>
    <n v="1"/>
    <s v="Mobile"/>
    <s v="Yes"/>
    <s v="Yes"/>
    <s v="Yes"/>
    <s v="Playing outside"/>
    <n v="1"/>
    <n v="1"/>
    <x v="0"/>
  </r>
  <r>
    <d v="2026-08-06T11:18:36"/>
    <s v="Supriya Sen"/>
    <x v="1"/>
    <s v="Parent"/>
    <s v="Private Employee"/>
    <n v="7"/>
    <n v="5"/>
    <n v="1"/>
    <n v="1"/>
    <n v="0"/>
    <s v="Laptop, Mobile"/>
    <s v="Yes"/>
    <s v="No"/>
    <s v="Not Sure"/>
    <s v="Reading books"/>
    <n v="0"/>
    <n v="0"/>
    <x v="1"/>
  </r>
  <r>
    <d v="2026-08-06T11:23:18"/>
    <s v="Vikram Nath"/>
    <x v="0"/>
    <s v="Other"/>
    <s v="Entrepreneur"/>
    <n v="9"/>
    <n v="5"/>
    <n v="2"/>
    <n v="1.5"/>
    <n v="0.5"/>
    <s v="Laptop, Mobile"/>
    <s v="Yes"/>
    <s v="Yes"/>
    <s v="Yes"/>
    <s v="Meeting friends"/>
    <n v="1"/>
    <n v="1"/>
    <x v="0"/>
  </r>
  <r>
    <d v="2026-08-06T11:27:52"/>
    <s v="Prabir Chakraborty"/>
    <x v="2"/>
    <s v="Grandparent"/>
    <s v="Retired Banker"/>
    <n v="3"/>
    <n v="0"/>
    <n v="2"/>
    <n v="1"/>
    <n v="0"/>
    <s v="Smart TV, Mobile"/>
    <s v="No"/>
    <s v="No"/>
    <s v="No"/>
    <s v="Morning walks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C133B-F5D0-483D-94E7-92A999DF3C09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7" firstHeaderRow="1" firstDataRow="1" firstDataCol="1"/>
  <pivotFields count="15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What would be your Total Screen time per day (in hours)?" fld="5" subtotal="average" baseField="2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7085F-E496-4C7F-80D9-BFE3187A0B05}" name="PivotTable28" cacheId="4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C7" firstHeaderRow="0" firstDataRow="1" firstDataCol="1"/>
  <pivotFields count="15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Screen time spent on Work or Study (in hours)?" fld="6" subtotal="average" baseField="2" baseItem="1" numFmtId="2"/>
    <dataField name="Average of Screen time spent on Entertainment (TV, YouTube,etc.)?" fld="7" subtotal="average" baseField="2" baseItem="1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ED9A7-CEC5-47D4-B16D-45E82E770529}" name="PivotTable42" cacheId="6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5" firstHeaderRow="1" firstDataRow="1" firstDataCol="1"/>
  <pivotFields count="18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7"/>
  </rowFields>
  <rowItems count="2">
    <i>
      <x/>
    </i>
    <i>
      <x v="1"/>
    </i>
  </rowItems>
  <colItems count="1">
    <i/>
  </colItems>
  <dataFields count="1">
    <dataField name="Count of Age" fld="2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36" headerRowDxfId="4">
  <tableColumns count="18">
    <tableColumn id="1" xr3:uid="{00000000-0010-0000-0000-000001000000}" name="Timestamp"/>
    <tableColumn id="2" xr3:uid="{00000000-0010-0000-0000-000002000000}" name="Name"/>
    <tableColumn id="3" xr3:uid="{00000000-0010-0000-0000-000003000000}" name="Age"/>
    <tableColumn id="4" xr3:uid="{00000000-0010-0000-0000-000004000000}" name="What  is your role in the family?"/>
    <tableColumn id="5" xr3:uid="{00000000-0010-0000-0000-000005000000}" name="Occupation?"/>
    <tableColumn id="6" xr3:uid="{00000000-0010-0000-0000-000006000000}" name="What would be your Total Screen time per day (in hours)?" dataDxfId="9"/>
    <tableColumn id="7" xr3:uid="{00000000-0010-0000-0000-000007000000}" name="Screen time spent on Work or Study (in hours)?" dataDxfId="8"/>
    <tableColumn id="8" xr3:uid="{00000000-0010-0000-0000-000008000000}" name="Screen time spent on Entertainment (TV, YouTube,etc.)?" dataDxfId="7"/>
    <tableColumn id="9" xr3:uid="{00000000-0010-0000-0000-000009000000}" name="Screen time spent on Social Media (in hours)?" dataDxfId="6"/>
    <tableColumn id="10" xr3:uid="{00000000-0010-0000-0000-00000A000000}" name="Screen time spent on Gaming (in hours)?" dataDxfId="5"/>
    <tableColumn id="11" xr3:uid="{00000000-0010-0000-0000-00000B000000}" name="What kind of device do you use?"/>
    <tableColumn id="12" xr3:uid="{00000000-0010-0000-0000-00000C000000}" name="Do you use screens after 9 pm?"/>
    <tableColumn id="13" xr3:uid="{00000000-0010-0000-0000-00000D000000}" name="Do you think your screen time is too much?"/>
    <tableColumn id="14" xr3:uid="{00000000-0010-0000-0000-00000E000000}" name="Has is affected your sleep?" dataDxfId="0"/>
    <tableColumn id="15" xr3:uid="{00000000-0010-0000-0000-00000F000000}" name="What do you miss because of  screen time?"/>
    <tableColumn id="16" xr3:uid="{170BBB0E-7685-4C7A-8E59-E78926859D1C}" name="too_much_screen_time" dataDxfId="3">
      <calculatedColumnFormula xml:space="preserve"> IF( M2 = "Yes", 1, 0)</calculatedColumnFormula>
    </tableColumn>
    <tableColumn id="17" xr3:uid="{16210D92-0BB8-4D49-A1BD-88E34AA47F07}" name="sleep_affected" dataDxfId="2">
      <calculatedColumnFormula>IF( N2= "Yes",1,0)</calculatedColumnFormula>
    </tableColumn>
    <tableColumn id="18" xr3:uid="{31C5BE89-C423-4B3D-964D-196133B597E5}" name="too_much_screen_time_affecting_sleep" dataDxfId="1">
      <calculatedColumnFormula xml:space="preserve"> IF(M2 = N2,"True","False")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1"/>
  <sheetViews>
    <sheetView topLeftCell="I1" zoomScale="92" workbookViewId="0">
      <pane ySplit="1" topLeftCell="A2" activePane="bottomLeft" state="frozen"/>
      <selection pane="bottomLeft" activeCell="K38" sqref="K38"/>
    </sheetView>
  </sheetViews>
  <sheetFormatPr defaultColWidth="12.6328125" defaultRowHeight="15.75" customHeight="1" x14ac:dyDescent="0.25"/>
  <cols>
    <col min="1" max="3" width="18.90625" customWidth="1"/>
    <col min="4" max="4" width="18" customWidth="1"/>
    <col min="5" max="5" width="18.90625" customWidth="1"/>
    <col min="6" max="6" width="25.54296875" style="9" customWidth="1"/>
    <col min="7" max="7" width="27" style="6" customWidth="1"/>
    <col min="8" max="8" width="22.81640625" style="6" customWidth="1"/>
    <col min="9" max="9" width="21.90625" style="6" customWidth="1"/>
    <col min="10" max="10" width="22.1796875" style="6" customWidth="1"/>
    <col min="11" max="11" width="23.81640625" customWidth="1"/>
    <col min="12" max="12" width="18.90625" customWidth="1"/>
    <col min="13" max="13" width="26.1796875" customWidth="1"/>
    <col min="14" max="14" width="24.90625" customWidth="1"/>
    <col min="15" max="15" width="18.7265625" customWidth="1"/>
    <col min="16" max="21" width="18.90625" customWidth="1"/>
  </cols>
  <sheetData>
    <row r="1" spans="1:21" s="21" customFormat="1" ht="22.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130</v>
      </c>
      <c r="Q1" s="18" t="s">
        <v>129</v>
      </c>
      <c r="R1" s="18" t="s">
        <v>131</v>
      </c>
      <c r="S1" s="18"/>
      <c r="T1" s="18"/>
      <c r="U1" s="18"/>
    </row>
    <row r="2" spans="1:21" ht="22.5" customHeight="1" x14ac:dyDescent="0.25">
      <c r="A2" s="2">
        <v>46240.376550925925</v>
      </c>
      <c r="B2" s="3" t="s">
        <v>15</v>
      </c>
      <c r="C2" s="3" t="s">
        <v>16</v>
      </c>
      <c r="D2" s="3" t="s">
        <v>17</v>
      </c>
      <c r="E2" s="3" t="s">
        <v>18</v>
      </c>
      <c r="F2" s="7">
        <v>8</v>
      </c>
      <c r="G2" s="4">
        <v>4</v>
      </c>
      <c r="H2" s="4">
        <v>2</v>
      </c>
      <c r="I2" s="4">
        <v>1.5</v>
      </c>
      <c r="J2" s="4">
        <v>0.5</v>
      </c>
      <c r="K2" s="3" t="s">
        <v>19</v>
      </c>
      <c r="L2" s="3" t="s">
        <v>20</v>
      </c>
      <c r="M2" s="3" t="s">
        <v>20</v>
      </c>
      <c r="N2" s="3" t="s">
        <v>20</v>
      </c>
      <c r="O2" s="3" t="s">
        <v>21</v>
      </c>
      <c r="P2" s="1">
        <f xml:space="preserve"> IF( M2 = "Yes", 1, 0)</f>
        <v>1</v>
      </c>
      <c r="Q2" s="1">
        <f>IF( N2= "Yes",1,0)</f>
        <v>1</v>
      </c>
      <c r="R2" s="1" t="str">
        <f xml:space="preserve"> IF(M2 = N2,"True","False")</f>
        <v>True</v>
      </c>
      <c r="S2" s="1"/>
      <c r="T2" s="1"/>
      <c r="U2" s="1"/>
    </row>
    <row r="3" spans="1:21" ht="22.5" customHeight="1" x14ac:dyDescent="0.25">
      <c r="A3" s="2">
        <v>46240.378946759258</v>
      </c>
      <c r="B3" s="3" t="s">
        <v>22</v>
      </c>
      <c r="C3" s="3" t="s">
        <v>23</v>
      </c>
      <c r="D3" s="3" t="s">
        <v>24</v>
      </c>
      <c r="E3" s="3" t="s">
        <v>25</v>
      </c>
      <c r="F3" s="7">
        <v>5</v>
      </c>
      <c r="G3" s="4">
        <v>3</v>
      </c>
      <c r="H3" s="4">
        <v>1</v>
      </c>
      <c r="I3" s="4">
        <v>1</v>
      </c>
      <c r="J3" s="4">
        <v>0</v>
      </c>
      <c r="K3" s="3" t="s">
        <v>26</v>
      </c>
      <c r="L3" s="3" t="s">
        <v>20</v>
      </c>
      <c r="M3" s="3" t="s">
        <v>27</v>
      </c>
      <c r="N3" s="3" t="s">
        <v>27</v>
      </c>
      <c r="O3" s="3" t="s">
        <v>28</v>
      </c>
      <c r="P3" s="1">
        <f t="shared" ref="P3:P36" si="0" xml:space="preserve"> IF( M3 = "Yes", 1, 0)</f>
        <v>0</v>
      </c>
      <c r="Q3" s="1">
        <f>IF( N3= "Yes",1,0)</f>
        <v>0</v>
      </c>
      <c r="R3" s="1" t="str">
        <f xml:space="preserve"> IF(M3 = N3,"True","False")</f>
        <v>True</v>
      </c>
      <c r="S3" s="1"/>
      <c r="T3" s="1"/>
      <c r="U3" s="1"/>
    </row>
    <row r="4" spans="1:21" ht="22.5" customHeight="1" x14ac:dyDescent="0.25">
      <c r="A4" s="2">
        <v>46240.381458333337</v>
      </c>
      <c r="B4" s="3" t="s">
        <v>29</v>
      </c>
      <c r="C4" s="3" t="s">
        <v>30</v>
      </c>
      <c r="D4" s="3" t="s">
        <v>31</v>
      </c>
      <c r="E4" s="3" t="s">
        <v>32</v>
      </c>
      <c r="F4" s="7">
        <v>2</v>
      </c>
      <c r="G4" s="4">
        <v>0</v>
      </c>
      <c r="H4" s="4">
        <v>1.5</v>
      </c>
      <c r="I4" s="4">
        <v>0.5</v>
      </c>
      <c r="J4" s="4">
        <v>0</v>
      </c>
      <c r="K4" s="3" t="s">
        <v>33</v>
      </c>
      <c r="L4" s="3" t="s">
        <v>27</v>
      </c>
      <c r="M4" s="3" t="s">
        <v>27</v>
      </c>
      <c r="N4" s="3" t="s">
        <v>27</v>
      </c>
      <c r="O4" s="3" t="s">
        <v>34</v>
      </c>
      <c r="P4" s="1">
        <f t="shared" si="0"/>
        <v>0</v>
      </c>
      <c r="Q4" s="1">
        <f>IF( N4= "Yes",1,0)</f>
        <v>0</v>
      </c>
      <c r="R4" s="1" t="str">
        <f xml:space="preserve"> IF(M4 = N4,"True","False")</f>
        <v>True</v>
      </c>
      <c r="S4" s="1"/>
      <c r="T4" s="1"/>
      <c r="U4" s="1"/>
    </row>
    <row r="5" spans="1:21" ht="22.5" customHeight="1" x14ac:dyDescent="0.25">
      <c r="A5" s="2">
        <v>46240.383981481478</v>
      </c>
      <c r="B5" s="3" t="s">
        <v>35</v>
      </c>
      <c r="C5" s="3" t="s">
        <v>16</v>
      </c>
      <c r="D5" s="3" t="s">
        <v>17</v>
      </c>
      <c r="E5" s="3" t="s">
        <v>36</v>
      </c>
      <c r="F5" s="7">
        <v>10</v>
      </c>
      <c r="G5" s="4">
        <v>7</v>
      </c>
      <c r="H5" s="4">
        <v>1</v>
      </c>
      <c r="I5" s="4">
        <v>1.5</v>
      </c>
      <c r="J5" s="4">
        <v>0.5</v>
      </c>
      <c r="K5" s="3" t="s">
        <v>26</v>
      </c>
      <c r="L5" s="3" t="s">
        <v>20</v>
      </c>
      <c r="M5" s="3" t="s">
        <v>20</v>
      </c>
      <c r="N5" s="3" t="s">
        <v>20</v>
      </c>
      <c r="O5" s="3" t="s">
        <v>37</v>
      </c>
      <c r="P5" s="1">
        <f t="shared" si="0"/>
        <v>1</v>
      </c>
      <c r="Q5" s="1">
        <f>IF( N5= "Yes",1,0)</f>
        <v>1</v>
      </c>
      <c r="R5" s="1" t="str">
        <f xml:space="preserve"> IF(M5 = N5,"True","False")</f>
        <v>True</v>
      </c>
      <c r="S5" s="1"/>
      <c r="T5" s="1"/>
      <c r="U5" s="1"/>
    </row>
    <row r="6" spans="1:21" ht="22.5" customHeight="1" x14ac:dyDescent="0.25">
      <c r="A6" s="2">
        <v>46240.386342592596</v>
      </c>
      <c r="B6" s="3" t="s">
        <v>38</v>
      </c>
      <c r="C6" s="3" t="s">
        <v>39</v>
      </c>
      <c r="D6" s="3" t="s">
        <v>40</v>
      </c>
      <c r="E6" s="3" t="s">
        <v>41</v>
      </c>
      <c r="F6" s="7">
        <v>7</v>
      </c>
      <c r="G6" s="4">
        <v>3</v>
      </c>
      <c r="H6" s="4">
        <v>2</v>
      </c>
      <c r="I6" s="4">
        <v>1</v>
      </c>
      <c r="J6" s="4">
        <v>1</v>
      </c>
      <c r="K6" s="3" t="s">
        <v>19</v>
      </c>
      <c r="L6" s="3" t="s">
        <v>20</v>
      </c>
      <c r="M6" s="3" t="s">
        <v>20</v>
      </c>
      <c r="N6" s="3" t="s">
        <v>20</v>
      </c>
      <c r="O6" s="3" t="s">
        <v>42</v>
      </c>
      <c r="P6" s="1">
        <f t="shared" si="0"/>
        <v>1</v>
      </c>
      <c r="Q6" s="1">
        <f>IF( N6= "Yes",1,0)</f>
        <v>1</v>
      </c>
      <c r="R6" s="1" t="str">
        <f xml:space="preserve"> IF(M6 = N6,"True","False")</f>
        <v>True</v>
      </c>
      <c r="S6" s="1"/>
      <c r="T6" s="1"/>
      <c r="U6" s="1"/>
    </row>
    <row r="7" spans="1:21" ht="22.5" customHeight="1" x14ac:dyDescent="0.25">
      <c r="A7" s="2">
        <v>46240.389016203706</v>
      </c>
      <c r="B7" s="3" t="s">
        <v>43</v>
      </c>
      <c r="C7" s="3" t="s">
        <v>23</v>
      </c>
      <c r="D7" s="3" t="s">
        <v>24</v>
      </c>
      <c r="E7" s="3" t="s">
        <v>44</v>
      </c>
      <c r="F7" s="7">
        <v>6</v>
      </c>
      <c r="G7" s="4">
        <v>4</v>
      </c>
      <c r="H7" s="4">
        <v>1</v>
      </c>
      <c r="I7" s="4">
        <v>1</v>
      </c>
      <c r="J7" s="4">
        <v>0</v>
      </c>
      <c r="K7" s="3" t="s">
        <v>19</v>
      </c>
      <c r="L7" s="3" t="s">
        <v>20</v>
      </c>
      <c r="M7" s="3" t="s">
        <v>27</v>
      </c>
      <c r="N7" s="3" t="s">
        <v>27</v>
      </c>
      <c r="O7" s="3" t="s">
        <v>45</v>
      </c>
      <c r="P7" s="1">
        <f t="shared" si="0"/>
        <v>0</v>
      </c>
      <c r="Q7" s="1">
        <f>IF( N7= "Yes",1,0)</f>
        <v>0</v>
      </c>
      <c r="R7" s="1" t="str">
        <f xml:space="preserve"> IF(M7 = N7,"True","False")</f>
        <v>True</v>
      </c>
      <c r="S7" s="1"/>
      <c r="T7" s="1"/>
      <c r="U7" s="1"/>
    </row>
    <row r="8" spans="1:21" ht="22.5" customHeight="1" x14ac:dyDescent="0.25">
      <c r="A8" s="2">
        <v>46240.391770833332</v>
      </c>
      <c r="B8" s="3" t="s">
        <v>46</v>
      </c>
      <c r="C8" s="3" t="s">
        <v>16</v>
      </c>
      <c r="D8" s="3" t="s">
        <v>47</v>
      </c>
      <c r="E8" s="3" t="s">
        <v>48</v>
      </c>
      <c r="F8" s="7">
        <v>7</v>
      </c>
      <c r="G8" s="4">
        <v>5</v>
      </c>
      <c r="H8" s="4">
        <v>1</v>
      </c>
      <c r="I8" s="4">
        <v>1</v>
      </c>
      <c r="J8" s="4">
        <v>0</v>
      </c>
      <c r="K8" s="3" t="s">
        <v>26</v>
      </c>
      <c r="L8" s="3" t="s">
        <v>20</v>
      </c>
      <c r="M8" s="3" t="s">
        <v>20</v>
      </c>
      <c r="N8" s="3" t="s">
        <v>49</v>
      </c>
      <c r="O8" s="3" t="s">
        <v>50</v>
      </c>
      <c r="P8" s="1">
        <f t="shared" si="0"/>
        <v>1</v>
      </c>
      <c r="Q8" s="1">
        <f>IF( N8= "Yes",1,0)</f>
        <v>0</v>
      </c>
      <c r="R8" s="1" t="str">
        <f xml:space="preserve"> IF(M8 = N8,"True","False")</f>
        <v>False</v>
      </c>
      <c r="S8" s="1"/>
      <c r="T8" s="1"/>
      <c r="U8" s="1"/>
    </row>
    <row r="9" spans="1:21" ht="22.5" customHeight="1" x14ac:dyDescent="0.25">
      <c r="A9" s="2">
        <v>46240.394965277781</v>
      </c>
      <c r="B9" s="3" t="s">
        <v>51</v>
      </c>
      <c r="C9" s="3" t="s">
        <v>16</v>
      </c>
      <c r="D9" s="3" t="s">
        <v>17</v>
      </c>
      <c r="E9" s="3" t="s">
        <v>52</v>
      </c>
      <c r="F9" s="7">
        <v>9</v>
      </c>
      <c r="G9" s="4">
        <v>4</v>
      </c>
      <c r="H9" s="4">
        <v>2</v>
      </c>
      <c r="I9" s="4">
        <v>2</v>
      </c>
      <c r="J9" s="4">
        <v>1</v>
      </c>
      <c r="K9" s="3" t="s">
        <v>19</v>
      </c>
      <c r="L9" s="3" t="s">
        <v>20</v>
      </c>
      <c r="M9" s="3" t="s">
        <v>20</v>
      </c>
      <c r="N9" s="3" t="s">
        <v>20</v>
      </c>
      <c r="O9" s="3" t="s">
        <v>53</v>
      </c>
      <c r="P9" s="1">
        <f t="shared" si="0"/>
        <v>1</v>
      </c>
      <c r="Q9" s="1">
        <f>IF( N9= "Yes",1,0)</f>
        <v>1</v>
      </c>
      <c r="R9" s="1" t="str">
        <f xml:space="preserve"> IF(M9 = N9,"True","False")</f>
        <v>True</v>
      </c>
      <c r="S9" s="1"/>
      <c r="T9" s="1"/>
      <c r="U9" s="1"/>
    </row>
    <row r="10" spans="1:21" ht="22.5" customHeight="1" x14ac:dyDescent="0.25">
      <c r="A10" s="2">
        <v>46240.397256944445</v>
      </c>
      <c r="B10" s="3" t="s">
        <v>54</v>
      </c>
      <c r="C10" s="3" t="s">
        <v>23</v>
      </c>
      <c r="D10" s="3" t="s">
        <v>24</v>
      </c>
      <c r="E10" s="3" t="s">
        <v>55</v>
      </c>
      <c r="F10" s="7">
        <v>6</v>
      </c>
      <c r="G10" s="4">
        <v>4</v>
      </c>
      <c r="H10" s="4">
        <v>1</v>
      </c>
      <c r="I10" s="4">
        <v>1</v>
      </c>
      <c r="J10" s="4">
        <v>0</v>
      </c>
      <c r="K10" s="3" t="s">
        <v>26</v>
      </c>
      <c r="L10" s="3" t="s">
        <v>20</v>
      </c>
      <c r="M10" s="3" t="s">
        <v>27</v>
      </c>
      <c r="N10" s="3" t="s">
        <v>27</v>
      </c>
      <c r="O10" s="3" t="s">
        <v>56</v>
      </c>
      <c r="P10" s="1">
        <f t="shared" si="0"/>
        <v>0</v>
      </c>
      <c r="Q10" s="1">
        <f>IF( N10= "Yes",1,0)</f>
        <v>0</v>
      </c>
      <c r="R10" s="1" t="str">
        <f xml:space="preserve"> IF(M10 = N10,"True","False")</f>
        <v>True</v>
      </c>
      <c r="S10" s="1"/>
      <c r="T10" s="1"/>
      <c r="U10" s="1"/>
    </row>
    <row r="11" spans="1:21" ht="22.5" customHeight="1" x14ac:dyDescent="0.25">
      <c r="A11" s="2">
        <v>46240.400312500002</v>
      </c>
      <c r="B11" s="3" t="s">
        <v>57</v>
      </c>
      <c r="C11" s="3" t="s">
        <v>30</v>
      </c>
      <c r="D11" s="3" t="s">
        <v>31</v>
      </c>
      <c r="E11" s="3" t="s">
        <v>58</v>
      </c>
      <c r="F11" s="7">
        <v>3</v>
      </c>
      <c r="G11" s="4">
        <v>0</v>
      </c>
      <c r="H11" s="4">
        <v>2</v>
      </c>
      <c r="I11" s="4">
        <v>1</v>
      </c>
      <c r="J11" s="4">
        <v>0</v>
      </c>
      <c r="K11" s="3" t="s">
        <v>59</v>
      </c>
      <c r="L11" s="3" t="s">
        <v>27</v>
      </c>
      <c r="M11" s="3" t="s">
        <v>27</v>
      </c>
      <c r="N11" s="3" t="s">
        <v>27</v>
      </c>
      <c r="O11" s="3" t="s">
        <v>60</v>
      </c>
      <c r="P11" s="1">
        <f t="shared" si="0"/>
        <v>0</v>
      </c>
      <c r="Q11" s="1">
        <f>IF( N11= "Yes",1,0)</f>
        <v>0</v>
      </c>
      <c r="R11" s="1" t="str">
        <f xml:space="preserve"> IF(M11 = N11,"True","False")</f>
        <v>True</v>
      </c>
      <c r="S11" s="1"/>
      <c r="T11" s="1"/>
      <c r="U11" s="1"/>
    </row>
    <row r="12" spans="1:21" ht="22.5" customHeight="1" x14ac:dyDescent="0.25">
      <c r="A12" s="2">
        <v>46240.403356481482</v>
      </c>
      <c r="B12" s="3" t="s">
        <v>61</v>
      </c>
      <c r="C12" s="3" t="s">
        <v>16</v>
      </c>
      <c r="D12" s="3" t="s">
        <v>17</v>
      </c>
      <c r="E12" s="3" t="s">
        <v>62</v>
      </c>
      <c r="F12" s="7">
        <v>8</v>
      </c>
      <c r="G12" s="4">
        <v>5</v>
      </c>
      <c r="H12" s="4">
        <v>1</v>
      </c>
      <c r="I12" s="4">
        <v>1.5</v>
      </c>
      <c r="J12" s="4">
        <v>0.5</v>
      </c>
      <c r="K12" s="3" t="s">
        <v>26</v>
      </c>
      <c r="L12" s="3" t="s">
        <v>20</v>
      </c>
      <c r="M12" s="3" t="s">
        <v>20</v>
      </c>
      <c r="N12" s="3" t="s">
        <v>20</v>
      </c>
      <c r="O12" s="3" t="s">
        <v>63</v>
      </c>
      <c r="P12" s="1">
        <f t="shared" si="0"/>
        <v>1</v>
      </c>
      <c r="Q12" s="1">
        <f>IF( N12= "Yes",1,0)</f>
        <v>1</v>
      </c>
      <c r="R12" s="1" t="str">
        <f xml:space="preserve"> IF(M12 = N12,"True","False")</f>
        <v>True</v>
      </c>
      <c r="S12" s="1"/>
      <c r="T12" s="1"/>
      <c r="U12" s="1"/>
    </row>
    <row r="13" spans="1:21" ht="22.5" customHeight="1" x14ac:dyDescent="0.25">
      <c r="A13" s="2">
        <v>46240.406412037039</v>
      </c>
      <c r="B13" s="3" t="s">
        <v>64</v>
      </c>
      <c r="C13" s="3" t="s">
        <v>39</v>
      </c>
      <c r="D13" s="3" t="s">
        <v>40</v>
      </c>
      <c r="E13" s="3" t="s">
        <v>65</v>
      </c>
      <c r="F13" s="7">
        <v>6</v>
      </c>
      <c r="G13" s="4">
        <v>3</v>
      </c>
      <c r="H13" s="4">
        <v>1</v>
      </c>
      <c r="I13" s="4">
        <v>1</v>
      </c>
      <c r="J13" s="4">
        <v>1</v>
      </c>
      <c r="K13" s="3" t="s">
        <v>66</v>
      </c>
      <c r="L13" s="3" t="s">
        <v>20</v>
      </c>
      <c r="M13" s="3" t="s">
        <v>20</v>
      </c>
      <c r="N13" s="3" t="s">
        <v>49</v>
      </c>
      <c r="O13" s="3" t="s">
        <v>67</v>
      </c>
      <c r="P13" s="1">
        <f t="shared" si="0"/>
        <v>1</v>
      </c>
      <c r="Q13" s="1">
        <f>IF( N13= "Yes",1,0)</f>
        <v>0</v>
      </c>
      <c r="R13" s="1" t="str">
        <f xml:space="preserve"> IF(M13 = N13,"True","False")</f>
        <v>False</v>
      </c>
      <c r="S13" s="1"/>
      <c r="T13" s="1"/>
      <c r="U13" s="1"/>
    </row>
    <row r="14" spans="1:21" ht="22.5" customHeight="1" x14ac:dyDescent="0.25">
      <c r="A14" s="2">
        <v>46240.409444444442</v>
      </c>
      <c r="B14" s="3" t="s">
        <v>68</v>
      </c>
      <c r="C14" s="3" t="s">
        <v>23</v>
      </c>
      <c r="D14" s="3" t="s">
        <v>24</v>
      </c>
      <c r="E14" s="3" t="s">
        <v>69</v>
      </c>
      <c r="F14" s="7">
        <v>5</v>
      </c>
      <c r="G14" s="4">
        <v>3</v>
      </c>
      <c r="H14" s="4">
        <v>1</v>
      </c>
      <c r="I14" s="4">
        <v>1</v>
      </c>
      <c r="J14" s="4">
        <v>0</v>
      </c>
      <c r="K14" s="3" t="s">
        <v>66</v>
      </c>
      <c r="L14" s="3" t="s">
        <v>20</v>
      </c>
      <c r="M14" s="3" t="s">
        <v>27</v>
      </c>
      <c r="N14" s="3" t="s">
        <v>27</v>
      </c>
      <c r="O14" s="3" t="s">
        <v>70</v>
      </c>
      <c r="P14" s="1">
        <f t="shared" si="0"/>
        <v>0</v>
      </c>
      <c r="Q14" s="1">
        <f>IF( N14= "Yes",1,0)</f>
        <v>0</v>
      </c>
      <c r="R14" s="1" t="str">
        <f xml:space="preserve"> IF(M14 = N14,"True","False")</f>
        <v>True</v>
      </c>
      <c r="S14" s="1"/>
      <c r="T14" s="1"/>
      <c r="U14" s="1"/>
    </row>
    <row r="15" spans="1:21" ht="22.5" customHeight="1" x14ac:dyDescent="0.25">
      <c r="A15" s="2">
        <v>46240.412511574075</v>
      </c>
      <c r="B15" s="3" t="s">
        <v>71</v>
      </c>
      <c r="C15" s="3" t="s">
        <v>16</v>
      </c>
      <c r="D15" s="3" t="s">
        <v>17</v>
      </c>
      <c r="E15" s="3" t="s">
        <v>18</v>
      </c>
      <c r="F15" s="7">
        <v>7</v>
      </c>
      <c r="G15" s="4">
        <v>4</v>
      </c>
      <c r="H15" s="4">
        <v>1</v>
      </c>
      <c r="I15" s="4">
        <v>1.5</v>
      </c>
      <c r="J15" s="4">
        <v>0.5</v>
      </c>
      <c r="K15" s="3" t="s">
        <v>26</v>
      </c>
      <c r="L15" s="3" t="s">
        <v>20</v>
      </c>
      <c r="M15" s="3" t="s">
        <v>20</v>
      </c>
      <c r="N15" s="3" t="s">
        <v>20</v>
      </c>
      <c r="O15" s="3" t="s">
        <v>50</v>
      </c>
      <c r="P15" s="1">
        <f t="shared" si="0"/>
        <v>1</v>
      </c>
      <c r="Q15" s="1">
        <f>IF( N15= "Yes",1,0)</f>
        <v>1</v>
      </c>
      <c r="R15" s="1" t="str">
        <f xml:space="preserve"> IF(M15 = N15,"True","False")</f>
        <v>True</v>
      </c>
      <c r="S15" s="1"/>
      <c r="T15" s="1"/>
      <c r="U15" s="1"/>
    </row>
    <row r="16" spans="1:21" ht="22.5" customHeight="1" x14ac:dyDescent="0.25">
      <c r="A16" s="2">
        <v>46240.415497685186</v>
      </c>
      <c r="B16" s="3" t="s">
        <v>72</v>
      </c>
      <c r="C16" s="3" t="s">
        <v>16</v>
      </c>
      <c r="D16" s="3" t="s">
        <v>47</v>
      </c>
      <c r="E16" s="3" t="s">
        <v>73</v>
      </c>
      <c r="F16" s="7">
        <v>8</v>
      </c>
      <c r="G16" s="4">
        <v>5</v>
      </c>
      <c r="H16" s="4">
        <v>1</v>
      </c>
      <c r="I16" s="4">
        <v>1.5</v>
      </c>
      <c r="J16" s="4">
        <v>0.5</v>
      </c>
      <c r="K16" s="3" t="s">
        <v>19</v>
      </c>
      <c r="L16" s="3" t="s">
        <v>20</v>
      </c>
      <c r="M16" s="3" t="s">
        <v>20</v>
      </c>
      <c r="N16" s="3" t="s">
        <v>20</v>
      </c>
      <c r="O16" s="3" t="s">
        <v>74</v>
      </c>
      <c r="P16" s="1">
        <f t="shared" si="0"/>
        <v>1</v>
      </c>
      <c r="Q16" s="1">
        <f>IF( N16= "Yes",1,0)</f>
        <v>1</v>
      </c>
      <c r="R16" s="1" t="str">
        <f xml:space="preserve"> IF(M16 = N16,"True","False")</f>
        <v>True</v>
      </c>
      <c r="S16" s="1"/>
      <c r="T16" s="1"/>
      <c r="U16" s="1"/>
    </row>
    <row r="17" spans="1:21" ht="22.5" customHeight="1" x14ac:dyDescent="0.25">
      <c r="A17" s="2">
        <v>46240.418541666666</v>
      </c>
      <c r="B17" s="3" t="s">
        <v>75</v>
      </c>
      <c r="C17" s="3" t="s">
        <v>30</v>
      </c>
      <c r="D17" s="3" t="s">
        <v>31</v>
      </c>
      <c r="E17" s="3" t="s">
        <v>76</v>
      </c>
      <c r="F17" s="7">
        <v>3</v>
      </c>
      <c r="G17" s="4">
        <v>0</v>
      </c>
      <c r="H17" s="4">
        <v>2</v>
      </c>
      <c r="I17" s="4">
        <v>1</v>
      </c>
      <c r="J17" s="4">
        <v>0</v>
      </c>
      <c r="K17" s="3" t="s">
        <v>59</v>
      </c>
      <c r="L17" s="3" t="s">
        <v>27</v>
      </c>
      <c r="M17" s="3" t="s">
        <v>27</v>
      </c>
      <c r="N17" s="3" t="s">
        <v>27</v>
      </c>
      <c r="O17" s="3" t="s">
        <v>56</v>
      </c>
      <c r="P17" s="1">
        <f t="shared" si="0"/>
        <v>0</v>
      </c>
      <c r="Q17" s="1">
        <f>IF( N17= "Yes",1,0)</f>
        <v>0</v>
      </c>
      <c r="R17" s="1" t="str">
        <f xml:space="preserve"> IF(M17 = N17,"True","False")</f>
        <v>True</v>
      </c>
      <c r="S17" s="1"/>
      <c r="T17" s="1"/>
      <c r="U17" s="1"/>
    </row>
    <row r="18" spans="1:21" ht="22.5" customHeight="1" x14ac:dyDescent="0.25">
      <c r="A18" s="2">
        <v>46240.421620370369</v>
      </c>
      <c r="B18" s="3" t="s">
        <v>77</v>
      </c>
      <c r="C18" s="3" t="s">
        <v>23</v>
      </c>
      <c r="D18" s="3" t="s">
        <v>24</v>
      </c>
      <c r="E18" s="3" t="s">
        <v>78</v>
      </c>
      <c r="F18" s="7">
        <v>8</v>
      </c>
      <c r="G18" s="4">
        <v>6</v>
      </c>
      <c r="H18" s="4">
        <v>1</v>
      </c>
      <c r="I18" s="4">
        <v>1</v>
      </c>
      <c r="J18" s="4">
        <v>0</v>
      </c>
      <c r="K18" s="3" t="s">
        <v>26</v>
      </c>
      <c r="L18" s="3" t="s">
        <v>20</v>
      </c>
      <c r="M18" s="3" t="s">
        <v>20</v>
      </c>
      <c r="N18" s="3" t="s">
        <v>20</v>
      </c>
      <c r="O18" s="3" t="s">
        <v>37</v>
      </c>
      <c r="P18" s="1">
        <f t="shared" si="0"/>
        <v>1</v>
      </c>
      <c r="Q18" s="1">
        <f>IF( N18= "Yes",1,0)</f>
        <v>1</v>
      </c>
      <c r="R18" s="1" t="str">
        <f xml:space="preserve"> IF(M18 = N18,"True","False")</f>
        <v>True</v>
      </c>
      <c r="S18" s="1"/>
      <c r="T18" s="1"/>
      <c r="U18" s="1"/>
    </row>
    <row r="19" spans="1:21" ht="22.5" customHeight="1" x14ac:dyDescent="0.25">
      <c r="A19" s="2">
        <v>46240.424687500003</v>
      </c>
      <c r="B19" s="3" t="s">
        <v>79</v>
      </c>
      <c r="C19" s="3" t="s">
        <v>16</v>
      </c>
      <c r="D19" s="3" t="s">
        <v>17</v>
      </c>
      <c r="E19" s="3" t="s">
        <v>80</v>
      </c>
      <c r="F19" s="7">
        <v>9</v>
      </c>
      <c r="G19" s="4">
        <v>6</v>
      </c>
      <c r="H19" s="4">
        <v>1</v>
      </c>
      <c r="I19" s="4">
        <v>1.5</v>
      </c>
      <c r="J19" s="4">
        <v>0.5</v>
      </c>
      <c r="K19" s="3" t="s">
        <v>26</v>
      </c>
      <c r="L19" s="3" t="s">
        <v>20</v>
      </c>
      <c r="M19" s="3" t="s">
        <v>20</v>
      </c>
      <c r="N19" s="3" t="s">
        <v>20</v>
      </c>
      <c r="O19" s="3" t="s">
        <v>81</v>
      </c>
      <c r="P19" s="1">
        <f t="shared" si="0"/>
        <v>1</v>
      </c>
      <c r="Q19" s="1">
        <f>IF( N19= "Yes",1,0)</f>
        <v>1</v>
      </c>
      <c r="R19" s="1" t="str">
        <f xml:space="preserve"> IF(M19 = N19,"True","False")</f>
        <v>True</v>
      </c>
      <c r="S19" s="1"/>
      <c r="T19" s="1"/>
      <c r="U19" s="1"/>
    </row>
    <row r="20" spans="1:21" ht="22.5" customHeight="1" x14ac:dyDescent="0.25">
      <c r="A20" s="2">
        <v>46240.427743055552</v>
      </c>
      <c r="B20" s="3" t="s">
        <v>82</v>
      </c>
      <c r="C20" s="3" t="s">
        <v>39</v>
      </c>
      <c r="D20" s="3" t="s">
        <v>40</v>
      </c>
      <c r="E20" s="3" t="s">
        <v>83</v>
      </c>
      <c r="F20" s="7">
        <v>5</v>
      </c>
      <c r="G20" s="4">
        <v>2</v>
      </c>
      <c r="H20" s="4">
        <v>1</v>
      </c>
      <c r="I20" s="4">
        <v>1</v>
      </c>
      <c r="J20" s="4">
        <v>1</v>
      </c>
      <c r="K20" s="3" t="s">
        <v>66</v>
      </c>
      <c r="L20" s="3" t="s">
        <v>20</v>
      </c>
      <c r="M20" s="3" t="s">
        <v>27</v>
      </c>
      <c r="N20" s="3" t="s">
        <v>49</v>
      </c>
      <c r="O20" s="3" t="s">
        <v>84</v>
      </c>
      <c r="P20" s="1">
        <f t="shared" si="0"/>
        <v>0</v>
      </c>
      <c r="Q20" s="1">
        <f>IF( N20= "Yes",1,0)</f>
        <v>0</v>
      </c>
      <c r="R20" s="1" t="str">
        <f xml:space="preserve"> IF(M20 = N20,"True","False")</f>
        <v>False</v>
      </c>
      <c r="S20" s="1"/>
      <c r="T20" s="1"/>
      <c r="U20" s="1"/>
    </row>
    <row r="21" spans="1:21" ht="22.5" customHeight="1" x14ac:dyDescent="0.25">
      <c r="A21" s="2">
        <v>46240.43074074074</v>
      </c>
      <c r="B21" s="3" t="s">
        <v>85</v>
      </c>
      <c r="C21" s="3" t="s">
        <v>23</v>
      </c>
      <c r="D21" s="3" t="s">
        <v>24</v>
      </c>
      <c r="E21" s="3" t="s">
        <v>58</v>
      </c>
      <c r="F21" s="7">
        <v>4</v>
      </c>
      <c r="G21" s="4">
        <v>1</v>
      </c>
      <c r="H21" s="4">
        <v>2</v>
      </c>
      <c r="I21" s="4">
        <v>1</v>
      </c>
      <c r="J21" s="4">
        <v>0</v>
      </c>
      <c r="K21" s="3" t="s">
        <v>86</v>
      </c>
      <c r="L21" s="3" t="s">
        <v>20</v>
      </c>
      <c r="M21" s="3" t="s">
        <v>27</v>
      </c>
      <c r="N21" s="3" t="s">
        <v>27</v>
      </c>
      <c r="O21" s="3" t="s">
        <v>87</v>
      </c>
      <c r="P21" s="1">
        <f t="shared" si="0"/>
        <v>0</v>
      </c>
      <c r="Q21" s="1">
        <f>IF( N21= "Yes",1,0)</f>
        <v>0</v>
      </c>
      <c r="R21" s="1" t="str">
        <f xml:space="preserve"> IF(M21 = N21,"True","False")</f>
        <v>True</v>
      </c>
      <c r="S21" s="1"/>
      <c r="T21" s="1"/>
      <c r="U21" s="1"/>
    </row>
    <row r="22" spans="1:21" ht="22.5" customHeight="1" x14ac:dyDescent="0.25">
      <c r="A22" s="2">
        <v>46240.433888888889</v>
      </c>
      <c r="B22" s="3" t="s">
        <v>88</v>
      </c>
      <c r="C22" s="3" t="s">
        <v>16</v>
      </c>
      <c r="D22" s="3" t="s">
        <v>17</v>
      </c>
      <c r="E22" s="3" t="s">
        <v>89</v>
      </c>
      <c r="F22" s="7">
        <v>9</v>
      </c>
      <c r="G22" s="4">
        <v>6</v>
      </c>
      <c r="H22" s="4">
        <v>1</v>
      </c>
      <c r="I22" s="4">
        <v>1.5</v>
      </c>
      <c r="J22" s="4">
        <v>0.5</v>
      </c>
      <c r="K22" s="3" t="s">
        <v>90</v>
      </c>
      <c r="L22" s="3" t="s">
        <v>20</v>
      </c>
      <c r="M22" s="3" t="s">
        <v>20</v>
      </c>
      <c r="N22" s="3" t="s">
        <v>20</v>
      </c>
      <c r="O22" s="3" t="s">
        <v>37</v>
      </c>
      <c r="P22" s="1">
        <f t="shared" si="0"/>
        <v>1</v>
      </c>
      <c r="Q22" s="1">
        <f>IF( N22= "Yes",1,0)</f>
        <v>1</v>
      </c>
      <c r="R22" s="1" t="str">
        <f xml:space="preserve"> IF(M22 = N22,"True","False")</f>
        <v>True</v>
      </c>
      <c r="S22" s="1"/>
      <c r="T22" s="1"/>
      <c r="U22" s="1"/>
    </row>
    <row r="23" spans="1:21" ht="22.5" customHeight="1" x14ac:dyDescent="0.25">
      <c r="A23" s="2">
        <v>46240.436956018515</v>
      </c>
      <c r="B23" s="3" t="s">
        <v>91</v>
      </c>
      <c r="C23" s="3" t="s">
        <v>23</v>
      </c>
      <c r="D23" s="3" t="s">
        <v>24</v>
      </c>
      <c r="E23" s="3" t="s">
        <v>92</v>
      </c>
      <c r="F23" s="7">
        <v>7</v>
      </c>
      <c r="G23" s="4">
        <v>5</v>
      </c>
      <c r="H23" s="4">
        <v>1</v>
      </c>
      <c r="I23" s="4">
        <v>1</v>
      </c>
      <c r="J23" s="4">
        <v>0</v>
      </c>
      <c r="K23" s="3" t="s">
        <v>26</v>
      </c>
      <c r="L23" s="3" t="s">
        <v>20</v>
      </c>
      <c r="M23" s="3" t="s">
        <v>20</v>
      </c>
      <c r="N23" s="3" t="s">
        <v>49</v>
      </c>
      <c r="O23" s="3" t="s">
        <v>93</v>
      </c>
      <c r="P23" s="1">
        <f t="shared" si="0"/>
        <v>1</v>
      </c>
      <c r="Q23" s="1">
        <f>IF( N23= "Yes",1,0)</f>
        <v>0</v>
      </c>
      <c r="R23" s="1" t="str">
        <f xml:space="preserve"> IF(M23 = N23,"True","False")</f>
        <v>False</v>
      </c>
      <c r="S23" s="1"/>
      <c r="T23" s="1"/>
      <c r="U23" s="1"/>
    </row>
    <row r="24" spans="1:21" ht="22.5" customHeight="1" x14ac:dyDescent="0.25">
      <c r="A24" s="2">
        <v>46240.44021990741</v>
      </c>
      <c r="B24" s="3" t="s">
        <v>94</v>
      </c>
      <c r="C24" s="3" t="s">
        <v>16</v>
      </c>
      <c r="D24" s="3" t="s">
        <v>47</v>
      </c>
      <c r="E24" s="3" t="s">
        <v>95</v>
      </c>
      <c r="F24" s="7">
        <v>8</v>
      </c>
      <c r="G24" s="4">
        <v>4</v>
      </c>
      <c r="H24" s="4">
        <v>2</v>
      </c>
      <c r="I24" s="4">
        <v>1.5</v>
      </c>
      <c r="J24" s="4">
        <v>0.5</v>
      </c>
      <c r="K24" s="3" t="s">
        <v>26</v>
      </c>
      <c r="L24" s="3" t="s">
        <v>20</v>
      </c>
      <c r="M24" s="3" t="s">
        <v>20</v>
      </c>
      <c r="N24" s="3" t="s">
        <v>20</v>
      </c>
      <c r="O24" s="3" t="s">
        <v>81</v>
      </c>
      <c r="P24" s="1">
        <f t="shared" si="0"/>
        <v>1</v>
      </c>
      <c r="Q24" s="1">
        <f>IF( N24= "Yes",1,0)</f>
        <v>1</v>
      </c>
      <c r="R24" s="1" t="str">
        <f xml:space="preserve"> IF(M24 = N24,"True","False")</f>
        <v>True</v>
      </c>
      <c r="S24" s="1"/>
      <c r="T24" s="1"/>
      <c r="U24" s="1"/>
    </row>
    <row r="25" spans="1:21" ht="22.5" customHeight="1" x14ac:dyDescent="0.25">
      <c r="A25" s="2">
        <v>46240.443310185183</v>
      </c>
      <c r="B25" s="3" t="s">
        <v>96</v>
      </c>
      <c r="C25" s="3" t="s">
        <v>30</v>
      </c>
      <c r="D25" s="3" t="s">
        <v>31</v>
      </c>
      <c r="E25" s="3" t="s">
        <v>32</v>
      </c>
      <c r="F25" s="7">
        <v>2</v>
      </c>
      <c r="G25" s="4">
        <v>0</v>
      </c>
      <c r="H25" s="4">
        <v>1</v>
      </c>
      <c r="I25" s="4">
        <v>1</v>
      </c>
      <c r="J25" s="4">
        <v>0</v>
      </c>
      <c r="K25" s="3" t="s">
        <v>59</v>
      </c>
      <c r="L25" s="3" t="s">
        <v>27</v>
      </c>
      <c r="M25" s="3" t="s">
        <v>27</v>
      </c>
      <c r="N25" s="3" t="s">
        <v>27</v>
      </c>
      <c r="O25" s="3" t="s">
        <v>97</v>
      </c>
      <c r="P25" s="1">
        <f t="shared" si="0"/>
        <v>0</v>
      </c>
      <c r="Q25" s="1">
        <f>IF( N25= "Yes",1,0)</f>
        <v>0</v>
      </c>
      <c r="R25" s="1" t="str">
        <f xml:space="preserve"> IF(M25 = N25,"True","False")</f>
        <v>True</v>
      </c>
      <c r="S25" s="1"/>
      <c r="T25" s="1"/>
      <c r="U25" s="1"/>
    </row>
    <row r="26" spans="1:21" ht="22.5" customHeight="1" x14ac:dyDescent="0.25">
      <c r="A26" s="2">
        <v>46240.446377314816</v>
      </c>
      <c r="B26" s="3" t="s">
        <v>98</v>
      </c>
      <c r="C26" s="3" t="s">
        <v>39</v>
      </c>
      <c r="D26" s="3" t="s">
        <v>40</v>
      </c>
      <c r="E26" s="3" t="s">
        <v>99</v>
      </c>
      <c r="F26" s="7">
        <v>8</v>
      </c>
      <c r="G26" s="4">
        <v>4</v>
      </c>
      <c r="H26" s="4">
        <v>2</v>
      </c>
      <c r="I26" s="4">
        <v>1</v>
      </c>
      <c r="J26" s="4">
        <v>1</v>
      </c>
      <c r="K26" s="3" t="s">
        <v>19</v>
      </c>
      <c r="L26" s="3" t="s">
        <v>20</v>
      </c>
      <c r="M26" s="3" t="s">
        <v>20</v>
      </c>
      <c r="N26" s="3" t="s">
        <v>20</v>
      </c>
      <c r="O26" s="3" t="s">
        <v>42</v>
      </c>
      <c r="P26" s="1">
        <f t="shared" si="0"/>
        <v>1</v>
      </c>
      <c r="Q26" s="1">
        <f>IF( N26= "Yes",1,0)</f>
        <v>1</v>
      </c>
      <c r="R26" s="1" t="str">
        <f xml:space="preserve"> IF(M26 = N26,"True","False")</f>
        <v>True</v>
      </c>
      <c r="S26" s="1"/>
      <c r="T26" s="1"/>
      <c r="U26" s="1"/>
    </row>
    <row r="27" spans="1:21" ht="22.5" customHeight="1" x14ac:dyDescent="0.25">
      <c r="A27" s="2">
        <v>46240.44940972222</v>
      </c>
      <c r="B27" s="3" t="s">
        <v>100</v>
      </c>
      <c r="C27" s="3" t="s">
        <v>23</v>
      </c>
      <c r="D27" s="3" t="s">
        <v>24</v>
      </c>
      <c r="E27" s="3" t="s">
        <v>101</v>
      </c>
      <c r="F27" s="7">
        <v>6</v>
      </c>
      <c r="G27" s="4">
        <v>5</v>
      </c>
      <c r="H27" s="4">
        <v>0.5</v>
      </c>
      <c r="I27" s="4">
        <v>0.5</v>
      </c>
      <c r="J27" s="4">
        <v>0</v>
      </c>
      <c r="K27" s="3" t="s">
        <v>90</v>
      </c>
      <c r="L27" s="3" t="s">
        <v>20</v>
      </c>
      <c r="M27" s="3" t="s">
        <v>27</v>
      </c>
      <c r="N27" s="3" t="s">
        <v>27</v>
      </c>
      <c r="O27" s="3" t="s">
        <v>74</v>
      </c>
      <c r="P27" s="1">
        <f t="shared" si="0"/>
        <v>0</v>
      </c>
      <c r="Q27" s="1">
        <f>IF( N27= "Yes",1,0)</f>
        <v>0</v>
      </c>
      <c r="R27" s="1" t="str">
        <f xml:space="preserve"> IF(M27 = N27,"True","False")</f>
        <v>True</v>
      </c>
      <c r="S27" s="1"/>
      <c r="T27" s="1"/>
      <c r="U27" s="1"/>
    </row>
    <row r="28" spans="1:21" ht="22.5" customHeight="1" x14ac:dyDescent="0.25">
      <c r="A28" s="2">
        <v>46240.452499999999</v>
      </c>
      <c r="B28" s="3" t="s">
        <v>102</v>
      </c>
      <c r="C28" s="3" t="s">
        <v>16</v>
      </c>
      <c r="D28" s="3" t="s">
        <v>17</v>
      </c>
      <c r="E28" s="3" t="s">
        <v>103</v>
      </c>
      <c r="F28" s="7">
        <v>9</v>
      </c>
      <c r="G28" s="4">
        <v>6</v>
      </c>
      <c r="H28" s="4">
        <v>1</v>
      </c>
      <c r="I28" s="4">
        <v>1.5</v>
      </c>
      <c r="J28" s="4">
        <v>0.5</v>
      </c>
      <c r="K28" s="3" t="s">
        <v>26</v>
      </c>
      <c r="L28" s="3" t="s">
        <v>20</v>
      </c>
      <c r="M28" s="3" t="s">
        <v>20</v>
      </c>
      <c r="N28" s="3" t="s">
        <v>20</v>
      </c>
      <c r="O28" s="3" t="s">
        <v>50</v>
      </c>
      <c r="P28" s="1">
        <f t="shared" si="0"/>
        <v>1</v>
      </c>
      <c r="Q28" s="1">
        <f>IF( N28= "Yes",1,0)</f>
        <v>1</v>
      </c>
      <c r="R28" s="1" t="str">
        <f xml:space="preserve"> IF(M28 = N28,"True","False")</f>
        <v>True</v>
      </c>
      <c r="S28" s="1"/>
      <c r="T28" s="1"/>
      <c r="U28" s="1"/>
    </row>
    <row r="29" spans="1:21" ht="22.5" customHeight="1" x14ac:dyDescent="0.25">
      <c r="A29" s="2">
        <v>46240.455567129633</v>
      </c>
      <c r="B29" s="3" t="s">
        <v>104</v>
      </c>
      <c r="C29" s="3" t="s">
        <v>16</v>
      </c>
      <c r="D29" s="3" t="s">
        <v>47</v>
      </c>
      <c r="E29" s="3" t="s">
        <v>105</v>
      </c>
      <c r="F29" s="7">
        <v>7</v>
      </c>
      <c r="G29" s="4">
        <v>5</v>
      </c>
      <c r="H29" s="4">
        <v>1</v>
      </c>
      <c r="I29" s="4">
        <v>1</v>
      </c>
      <c r="J29" s="4">
        <v>0</v>
      </c>
      <c r="K29" s="3" t="s">
        <v>26</v>
      </c>
      <c r="L29" s="3" t="s">
        <v>20</v>
      </c>
      <c r="M29" s="3" t="s">
        <v>27</v>
      </c>
      <c r="N29" s="3" t="s">
        <v>49</v>
      </c>
      <c r="O29" s="3" t="s">
        <v>37</v>
      </c>
      <c r="P29" s="1">
        <f t="shared" si="0"/>
        <v>0</v>
      </c>
      <c r="Q29" s="1">
        <f>IF( N29= "Yes",1,0)</f>
        <v>0</v>
      </c>
      <c r="R29" s="1" t="str">
        <f xml:space="preserve"> IF(M29 = N29,"True","False")</f>
        <v>False</v>
      </c>
      <c r="S29" s="1"/>
      <c r="T29" s="1"/>
      <c r="U29" s="1"/>
    </row>
    <row r="30" spans="1:21" ht="22.5" customHeight="1" x14ac:dyDescent="0.25">
      <c r="A30" s="2">
        <v>46240.458657407406</v>
      </c>
      <c r="B30" s="3" t="s">
        <v>106</v>
      </c>
      <c r="C30" s="3" t="s">
        <v>30</v>
      </c>
      <c r="D30" s="3" t="s">
        <v>31</v>
      </c>
      <c r="E30" s="3" t="s">
        <v>107</v>
      </c>
      <c r="F30" s="7">
        <v>2</v>
      </c>
      <c r="G30" s="4">
        <v>0</v>
      </c>
      <c r="H30" s="4">
        <v>1</v>
      </c>
      <c r="I30" s="4">
        <v>0.5</v>
      </c>
      <c r="J30" s="4">
        <v>0</v>
      </c>
      <c r="K30" s="3" t="s">
        <v>66</v>
      </c>
      <c r="L30" s="3" t="s">
        <v>27</v>
      </c>
      <c r="M30" s="3" t="s">
        <v>27</v>
      </c>
      <c r="N30" s="3" t="s">
        <v>27</v>
      </c>
      <c r="O30" s="3" t="s">
        <v>108</v>
      </c>
      <c r="P30" s="1">
        <f t="shared" si="0"/>
        <v>0</v>
      </c>
      <c r="Q30" s="1">
        <f>IF( N30= "Yes",1,0)</f>
        <v>0</v>
      </c>
      <c r="R30" s="1" t="str">
        <f xml:space="preserve"> IF(M30 = N30,"True","False")</f>
        <v>True</v>
      </c>
      <c r="S30" s="1"/>
      <c r="T30" s="1"/>
      <c r="U30" s="1"/>
    </row>
    <row r="31" spans="1:21" ht="22.5" customHeight="1" x14ac:dyDescent="0.25">
      <c r="A31" s="2">
        <v>46240.461828703701</v>
      </c>
      <c r="B31" s="3" t="s">
        <v>109</v>
      </c>
      <c r="C31" s="3" t="s">
        <v>23</v>
      </c>
      <c r="D31" s="3" t="s">
        <v>24</v>
      </c>
      <c r="E31" s="3" t="s">
        <v>110</v>
      </c>
      <c r="F31" s="7">
        <v>6</v>
      </c>
      <c r="G31" s="4">
        <v>4</v>
      </c>
      <c r="H31" s="4">
        <v>1</v>
      </c>
      <c r="I31" s="4">
        <v>1</v>
      </c>
      <c r="J31" s="4">
        <v>0</v>
      </c>
      <c r="K31" s="3" t="s">
        <v>66</v>
      </c>
      <c r="L31" s="3" t="s">
        <v>20</v>
      </c>
      <c r="M31" s="3" t="s">
        <v>20</v>
      </c>
      <c r="N31" s="3" t="s">
        <v>49</v>
      </c>
      <c r="O31" s="3" t="s">
        <v>45</v>
      </c>
      <c r="P31" s="1">
        <f t="shared" si="0"/>
        <v>1</v>
      </c>
      <c r="Q31" s="1">
        <f>IF( N31= "Yes",1,0)</f>
        <v>0</v>
      </c>
      <c r="R31" s="1" t="str">
        <f xml:space="preserve"> IF(M31 = N31,"True","False")</f>
        <v>False</v>
      </c>
      <c r="S31" s="1"/>
      <c r="T31" s="1"/>
      <c r="U31" s="1"/>
    </row>
    <row r="32" spans="1:21" ht="22.5" customHeight="1" x14ac:dyDescent="0.25">
      <c r="A32" s="2">
        <v>46240.465057870373</v>
      </c>
      <c r="B32" s="3" t="s">
        <v>111</v>
      </c>
      <c r="C32" s="3" t="s">
        <v>16</v>
      </c>
      <c r="D32" s="3" t="s">
        <v>17</v>
      </c>
      <c r="E32" s="3" t="s">
        <v>112</v>
      </c>
      <c r="F32" s="7">
        <v>10</v>
      </c>
      <c r="G32" s="4">
        <v>7</v>
      </c>
      <c r="H32" s="4">
        <v>1</v>
      </c>
      <c r="I32" s="4">
        <v>1.5</v>
      </c>
      <c r="J32" s="4">
        <v>0.5</v>
      </c>
      <c r="K32" s="3" t="s">
        <v>26</v>
      </c>
      <c r="L32" s="3" t="s">
        <v>20</v>
      </c>
      <c r="M32" s="3" t="s">
        <v>20</v>
      </c>
      <c r="N32" s="3" t="s">
        <v>20</v>
      </c>
      <c r="O32" s="3" t="s">
        <v>113</v>
      </c>
      <c r="P32" s="1">
        <f t="shared" si="0"/>
        <v>1</v>
      </c>
      <c r="Q32" s="1">
        <f>IF( N32= "Yes",1,0)</f>
        <v>1</v>
      </c>
      <c r="R32" s="1" t="str">
        <f xml:space="preserve"> IF(M32 = N32,"True","False")</f>
        <v>True</v>
      </c>
      <c r="S32" s="1"/>
      <c r="T32" s="1"/>
      <c r="U32" s="1"/>
    </row>
    <row r="33" spans="1:21" ht="22.5" customHeight="1" x14ac:dyDescent="0.25">
      <c r="A33" s="2">
        <v>46240.468113425923</v>
      </c>
      <c r="B33" s="3" t="s">
        <v>114</v>
      </c>
      <c r="C33" s="3" t="s">
        <v>39</v>
      </c>
      <c r="D33" s="3" t="s">
        <v>40</v>
      </c>
      <c r="E33" s="3" t="s">
        <v>115</v>
      </c>
      <c r="F33" s="7">
        <v>6</v>
      </c>
      <c r="G33" s="4">
        <v>3</v>
      </c>
      <c r="H33" s="4">
        <v>1</v>
      </c>
      <c r="I33" s="4">
        <v>1</v>
      </c>
      <c r="J33" s="4">
        <v>1</v>
      </c>
      <c r="K33" s="3" t="s">
        <v>66</v>
      </c>
      <c r="L33" s="3" t="s">
        <v>20</v>
      </c>
      <c r="M33" s="3" t="s">
        <v>20</v>
      </c>
      <c r="N33" s="3" t="s">
        <v>20</v>
      </c>
      <c r="O33" s="3" t="s">
        <v>116</v>
      </c>
      <c r="P33" s="1">
        <f t="shared" si="0"/>
        <v>1</v>
      </c>
      <c r="Q33" s="1">
        <f>IF( N33= "Yes",1,0)</f>
        <v>1</v>
      </c>
      <c r="R33" s="1" t="str">
        <f xml:space="preserve"> IF(M33 = N33,"True","False")</f>
        <v>True</v>
      </c>
      <c r="S33" s="1"/>
      <c r="T33" s="1"/>
      <c r="U33" s="1"/>
    </row>
    <row r="34" spans="1:21" ht="22.5" customHeight="1" x14ac:dyDescent="0.25">
      <c r="A34" s="2">
        <v>46240.471250000002</v>
      </c>
      <c r="B34" s="3" t="s">
        <v>117</v>
      </c>
      <c r="C34" s="3" t="s">
        <v>23</v>
      </c>
      <c r="D34" s="3" t="s">
        <v>24</v>
      </c>
      <c r="E34" s="3" t="s">
        <v>118</v>
      </c>
      <c r="F34" s="7">
        <v>7</v>
      </c>
      <c r="G34" s="4">
        <v>5</v>
      </c>
      <c r="H34" s="4">
        <v>1</v>
      </c>
      <c r="I34" s="4">
        <v>1</v>
      </c>
      <c r="J34" s="4">
        <v>0</v>
      </c>
      <c r="K34" s="3" t="s">
        <v>26</v>
      </c>
      <c r="L34" s="3" t="s">
        <v>20</v>
      </c>
      <c r="M34" s="3" t="s">
        <v>27</v>
      </c>
      <c r="N34" s="3" t="s">
        <v>49</v>
      </c>
      <c r="O34" s="3" t="s">
        <v>21</v>
      </c>
      <c r="P34" s="1">
        <f t="shared" si="0"/>
        <v>0</v>
      </c>
      <c r="Q34" s="1">
        <f>IF( N34= "Yes",1,0)</f>
        <v>0</v>
      </c>
      <c r="R34" s="1" t="str">
        <f xml:space="preserve"> IF(M34 = N34,"True","False")</f>
        <v>False</v>
      </c>
      <c r="S34" s="1"/>
      <c r="T34" s="1"/>
      <c r="U34" s="1"/>
    </row>
    <row r="35" spans="1:21" ht="22.5" customHeight="1" x14ac:dyDescent="0.25">
      <c r="A35" s="2">
        <v>46240.47451388889</v>
      </c>
      <c r="B35" s="3" t="s">
        <v>119</v>
      </c>
      <c r="C35" s="3" t="s">
        <v>16</v>
      </c>
      <c r="D35" s="3" t="s">
        <v>47</v>
      </c>
      <c r="E35" s="3" t="s">
        <v>120</v>
      </c>
      <c r="F35" s="7">
        <v>9</v>
      </c>
      <c r="G35" s="4">
        <v>5</v>
      </c>
      <c r="H35" s="4">
        <v>2</v>
      </c>
      <c r="I35" s="4">
        <v>1.5</v>
      </c>
      <c r="J35" s="4">
        <v>0.5</v>
      </c>
      <c r="K35" s="3" t="s">
        <v>26</v>
      </c>
      <c r="L35" s="3" t="s">
        <v>20</v>
      </c>
      <c r="M35" s="3" t="s">
        <v>20</v>
      </c>
      <c r="N35" s="3" t="s">
        <v>20</v>
      </c>
      <c r="O35" s="3" t="s">
        <v>121</v>
      </c>
      <c r="P35" s="1">
        <f t="shared" si="0"/>
        <v>1</v>
      </c>
      <c r="Q35" s="1">
        <f>IF( N35= "Yes",1,0)</f>
        <v>1</v>
      </c>
      <c r="R35" s="1" t="str">
        <f xml:space="preserve"> IF(M35 = N35,"True","False")</f>
        <v>True</v>
      </c>
      <c r="S35" s="1"/>
      <c r="T35" s="1"/>
      <c r="U35" s="1"/>
    </row>
    <row r="36" spans="1:21" ht="22.5" customHeight="1" x14ac:dyDescent="0.25">
      <c r="A36" s="2">
        <v>46240.477685185186</v>
      </c>
      <c r="B36" s="3" t="s">
        <v>122</v>
      </c>
      <c r="C36" s="3" t="s">
        <v>30</v>
      </c>
      <c r="D36" s="3" t="s">
        <v>31</v>
      </c>
      <c r="E36" s="3" t="s">
        <v>123</v>
      </c>
      <c r="F36" s="7">
        <v>3</v>
      </c>
      <c r="G36" s="4">
        <v>0</v>
      </c>
      <c r="H36" s="4">
        <v>2</v>
      </c>
      <c r="I36" s="4">
        <v>1</v>
      </c>
      <c r="J36" s="4">
        <v>0</v>
      </c>
      <c r="K36" s="3" t="s">
        <v>33</v>
      </c>
      <c r="L36" s="3" t="s">
        <v>27</v>
      </c>
      <c r="M36" s="3" t="s">
        <v>27</v>
      </c>
      <c r="N36" s="3" t="s">
        <v>27</v>
      </c>
      <c r="O36" s="3" t="s">
        <v>34</v>
      </c>
      <c r="P36" s="1">
        <f t="shared" si="0"/>
        <v>0</v>
      </c>
      <c r="Q36" s="1">
        <f>IF( N36= "Yes",1,0)</f>
        <v>0</v>
      </c>
      <c r="R36" s="1" t="str">
        <f xml:space="preserve"> IF(M36 = N36,"True","False")</f>
        <v>True</v>
      </c>
      <c r="S36" s="1"/>
      <c r="T36" s="1"/>
      <c r="U36" s="1"/>
    </row>
    <row r="37" spans="1:21" ht="12.5" x14ac:dyDescent="0.25">
      <c r="A37" s="1"/>
      <c r="B37" s="1"/>
      <c r="C37" s="1"/>
      <c r="D37" s="1"/>
      <c r="E37" s="1"/>
      <c r="F37" s="8"/>
      <c r="G37" s="5"/>
      <c r="H37" s="5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5" x14ac:dyDescent="0.25">
      <c r="A38" s="1"/>
      <c r="B38" s="1"/>
      <c r="C38" s="1"/>
      <c r="D38" s="1"/>
      <c r="E38" s="1"/>
      <c r="F38" s="8"/>
      <c r="G38" s="5"/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5" x14ac:dyDescent="0.25">
      <c r="A39" s="1"/>
      <c r="B39" s="1"/>
      <c r="C39" s="1"/>
      <c r="D39" s="1"/>
      <c r="E39" s="1"/>
      <c r="F39" s="8"/>
      <c r="G39" s="5"/>
      <c r="H39" s="5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5" x14ac:dyDescent="0.25">
      <c r="A40" s="1"/>
      <c r="B40" s="1"/>
      <c r="C40" s="1"/>
      <c r="D40" s="1"/>
      <c r="E40" s="1"/>
      <c r="F40" s="8"/>
      <c r="G40" s="5"/>
      <c r="H40" s="5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5" x14ac:dyDescent="0.25">
      <c r="A41" s="1"/>
      <c r="B41" s="1"/>
      <c r="C41" s="1"/>
      <c r="D41" s="1"/>
      <c r="E41" s="1"/>
      <c r="F41" s="8"/>
      <c r="G41" s="5"/>
      <c r="H41" s="5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5" x14ac:dyDescent="0.25">
      <c r="A42" s="1"/>
      <c r="B42" s="1"/>
      <c r="C42" s="1"/>
      <c r="D42" s="1"/>
      <c r="E42" s="1"/>
      <c r="F42" s="8"/>
      <c r="G42" s="5"/>
      <c r="H42" s="5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5" x14ac:dyDescent="0.25">
      <c r="A43" s="1"/>
      <c r="B43" s="1"/>
      <c r="C43" s="1"/>
      <c r="D43" s="1"/>
      <c r="E43" s="1"/>
      <c r="F43" s="8"/>
      <c r="G43" s="5"/>
      <c r="H43" s="5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5" x14ac:dyDescent="0.25">
      <c r="A44" s="1"/>
      <c r="B44" s="1"/>
      <c r="C44" s="1"/>
      <c r="D44" s="1"/>
      <c r="E44" s="1"/>
      <c r="F44" s="8"/>
      <c r="G44" s="5"/>
      <c r="H44" s="5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5" x14ac:dyDescent="0.25">
      <c r="A45" s="1"/>
      <c r="B45" s="1"/>
      <c r="C45" s="1"/>
      <c r="D45" s="1"/>
      <c r="E45" s="1"/>
      <c r="F45" s="8"/>
      <c r="G45" s="5"/>
      <c r="H45" s="5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5" x14ac:dyDescent="0.25">
      <c r="A46" s="1"/>
      <c r="B46" s="1"/>
      <c r="C46" s="1"/>
      <c r="D46" s="1"/>
      <c r="E46" s="1"/>
      <c r="F46" s="8"/>
      <c r="G46" s="5"/>
      <c r="H46" s="5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5" x14ac:dyDescent="0.25">
      <c r="A47" s="1"/>
      <c r="B47" s="1"/>
      <c r="C47" s="1"/>
      <c r="D47" s="1"/>
      <c r="E47" s="1"/>
      <c r="F47" s="8"/>
      <c r="G47" s="5"/>
      <c r="H47" s="5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5" x14ac:dyDescent="0.25">
      <c r="A48" s="1"/>
      <c r="B48" s="1"/>
      <c r="C48" s="1"/>
      <c r="D48" s="1"/>
      <c r="E48" s="1"/>
      <c r="F48" s="8"/>
      <c r="G48" s="5"/>
      <c r="H48" s="5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5" x14ac:dyDescent="0.25">
      <c r="A49" s="1"/>
      <c r="B49" s="1"/>
      <c r="C49" s="1"/>
      <c r="D49" s="1"/>
      <c r="E49" s="1"/>
      <c r="F49" s="8"/>
      <c r="G49" s="5"/>
      <c r="H49" s="5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5" x14ac:dyDescent="0.25">
      <c r="A50" s="1"/>
      <c r="B50" s="1"/>
      <c r="C50" s="1"/>
      <c r="D50" s="1"/>
      <c r="E50" s="1"/>
      <c r="F50" s="8"/>
      <c r="G50" s="5"/>
      <c r="H50" s="5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5" x14ac:dyDescent="0.25">
      <c r="A51" s="1"/>
      <c r="B51" s="1"/>
      <c r="C51" s="1"/>
      <c r="D51" s="1"/>
      <c r="E51" s="1"/>
      <c r="F51" s="8"/>
      <c r="G51" s="5"/>
      <c r="H51" s="5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5" x14ac:dyDescent="0.25">
      <c r="A52" s="1"/>
      <c r="B52" s="1"/>
      <c r="C52" s="1"/>
      <c r="D52" s="1"/>
      <c r="E52" s="1"/>
      <c r="F52" s="8"/>
      <c r="G52" s="5"/>
      <c r="H52" s="5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5" x14ac:dyDescent="0.25">
      <c r="A53" s="1"/>
      <c r="B53" s="1"/>
      <c r="C53" s="1"/>
      <c r="D53" s="1"/>
      <c r="E53" s="1"/>
      <c r="F53" s="8"/>
      <c r="G53" s="5"/>
      <c r="H53" s="5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5" x14ac:dyDescent="0.25">
      <c r="A54" s="1"/>
      <c r="B54" s="1"/>
      <c r="C54" s="1"/>
      <c r="D54" s="1"/>
      <c r="E54" s="1"/>
      <c r="F54" s="8"/>
      <c r="G54" s="5"/>
      <c r="H54" s="5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5" x14ac:dyDescent="0.25">
      <c r="A55" s="1"/>
      <c r="B55" s="1"/>
      <c r="C55" s="1"/>
      <c r="D55" s="1"/>
      <c r="E55" s="1"/>
      <c r="F55" s="8"/>
      <c r="G55" s="5"/>
      <c r="H55" s="5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5" x14ac:dyDescent="0.25">
      <c r="A56" s="1"/>
      <c r="B56" s="1"/>
      <c r="C56" s="1"/>
      <c r="D56" s="1"/>
      <c r="E56" s="1"/>
      <c r="F56" s="8"/>
      <c r="G56" s="5"/>
      <c r="H56" s="5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5" x14ac:dyDescent="0.25">
      <c r="A57" s="1"/>
      <c r="B57" s="1"/>
      <c r="C57" s="1"/>
      <c r="D57" s="1"/>
      <c r="E57" s="1"/>
      <c r="F57" s="8"/>
      <c r="G57" s="5"/>
      <c r="H57" s="5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5" x14ac:dyDescent="0.25">
      <c r="A58" s="1"/>
      <c r="B58" s="1"/>
      <c r="C58" s="1"/>
      <c r="D58" s="1"/>
      <c r="E58" s="1"/>
      <c r="F58" s="8"/>
      <c r="G58" s="5"/>
      <c r="H58" s="5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5" x14ac:dyDescent="0.25">
      <c r="A59" s="1"/>
      <c r="B59" s="1"/>
      <c r="C59" s="1"/>
      <c r="D59" s="1"/>
      <c r="E59" s="1"/>
      <c r="F59" s="8"/>
      <c r="G59" s="5"/>
      <c r="H59" s="5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5" x14ac:dyDescent="0.25">
      <c r="A60" s="1"/>
      <c r="B60" s="1"/>
      <c r="C60" s="1"/>
      <c r="D60" s="1"/>
      <c r="E60" s="1"/>
      <c r="F60" s="8"/>
      <c r="G60" s="5"/>
      <c r="H60" s="5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5" x14ac:dyDescent="0.25">
      <c r="A61" s="1"/>
      <c r="B61" s="1"/>
      <c r="C61" s="1"/>
      <c r="D61" s="1"/>
      <c r="E61" s="1"/>
      <c r="F61" s="8"/>
      <c r="G61" s="5"/>
      <c r="H61" s="5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5" x14ac:dyDescent="0.25">
      <c r="A62" s="1"/>
      <c r="B62" s="1"/>
      <c r="C62" s="1"/>
      <c r="D62" s="1"/>
      <c r="E62" s="1"/>
      <c r="F62" s="8"/>
      <c r="G62" s="5"/>
      <c r="H62" s="5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5" x14ac:dyDescent="0.25">
      <c r="A63" s="1"/>
      <c r="B63" s="1"/>
      <c r="C63" s="1"/>
      <c r="D63" s="1"/>
      <c r="E63" s="1"/>
      <c r="F63" s="8"/>
      <c r="G63" s="5"/>
      <c r="H63" s="5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5" x14ac:dyDescent="0.25">
      <c r="A64" s="1"/>
      <c r="B64" s="1"/>
      <c r="C64" s="1"/>
      <c r="D64" s="1"/>
      <c r="E64" s="1"/>
      <c r="F64" s="8"/>
      <c r="G64" s="5"/>
      <c r="H64" s="5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5" x14ac:dyDescent="0.25">
      <c r="A65" s="1"/>
      <c r="B65" s="1"/>
      <c r="C65" s="1"/>
      <c r="D65" s="1"/>
      <c r="E65" s="1"/>
      <c r="F65" s="8"/>
      <c r="G65" s="5"/>
      <c r="H65" s="5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5" x14ac:dyDescent="0.25">
      <c r="A66" s="1"/>
      <c r="B66" s="1"/>
      <c r="C66" s="1"/>
      <c r="D66" s="1"/>
      <c r="E66" s="1"/>
      <c r="F66" s="8"/>
      <c r="G66" s="5"/>
      <c r="H66" s="5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5" x14ac:dyDescent="0.25">
      <c r="A67" s="1"/>
      <c r="B67" s="1"/>
      <c r="C67" s="1"/>
      <c r="D67" s="1"/>
      <c r="E67" s="1"/>
      <c r="F67" s="8"/>
      <c r="G67" s="5"/>
      <c r="H67" s="5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5" x14ac:dyDescent="0.25">
      <c r="A68" s="1"/>
      <c r="B68" s="1"/>
      <c r="C68" s="1"/>
      <c r="D68" s="1"/>
      <c r="E68" s="1"/>
      <c r="F68" s="8"/>
      <c r="G68" s="5"/>
      <c r="H68" s="5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5" x14ac:dyDescent="0.25">
      <c r="A69" s="1"/>
      <c r="B69" s="1"/>
      <c r="C69" s="1"/>
      <c r="D69" s="1"/>
      <c r="E69" s="1"/>
      <c r="F69" s="8"/>
      <c r="G69" s="5"/>
      <c r="H69" s="5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5" x14ac:dyDescent="0.25">
      <c r="A70" s="1"/>
      <c r="B70" s="1"/>
      <c r="C70" s="1"/>
      <c r="D70" s="1"/>
      <c r="E70" s="1"/>
      <c r="F70" s="8"/>
      <c r="G70" s="5"/>
      <c r="H70" s="5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5" x14ac:dyDescent="0.25">
      <c r="A71" s="1"/>
      <c r="B71" s="1"/>
      <c r="C71" s="1"/>
      <c r="D71" s="1"/>
      <c r="E71" s="1"/>
      <c r="F71" s="8"/>
      <c r="G71" s="5"/>
      <c r="H71" s="5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5" x14ac:dyDescent="0.25">
      <c r="A72" s="1"/>
      <c r="B72" s="1"/>
      <c r="C72" s="1"/>
      <c r="D72" s="1"/>
      <c r="E72" s="1"/>
      <c r="F72" s="8"/>
      <c r="G72" s="5"/>
      <c r="H72" s="5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5" x14ac:dyDescent="0.25">
      <c r="A73" s="1"/>
      <c r="B73" s="1"/>
      <c r="C73" s="1"/>
      <c r="D73" s="1"/>
      <c r="E73" s="1"/>
      <c r="F73" s="8"/>
      <c r="G73" s="5"/>
      <c r="H73" s="5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5" x14ac:dyDescent="0.25">
      <c r="A74" s="1"/>
      <c r="B74" s="1"/>
      <c r="C74" s="1"/>
      <c r="D74" s="1"/>
      <c r="E74" s="1"/>
      <c r="F74" s="8"/>
      <c r="G74" s="5"/>
      <c r="H74" s="5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5" x14ac:dyDescent="0.25">
      <c r="A75" s="1"/>
      <c r="B75" s="1"/>
      <c r="C75" s="1"/>
      <c r="D75" s="1"/>
      <c r="E75" s="1"/>
      <c r="F75" s="8"/>
      <c r="G75" s="5"/>
      <c r="H75" s="5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5" x14ac:dyDescent="0.25">
      <c r="A76" s="1"/>
      <c r="B76" s="1"/>
      <c r="C76" s="1"/>
      <c r="D76" s="1"/>
      <c r="E76" s="1"/>
      <c r="F76" s="8"/>
      <c r="G76" s="5"/>
      <c r="H76" s="5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5" x14ac:dyDescent="0.25">
      <c r="A77" s="1"/>
      <c r="B77" s="1"/>
      <c r="C77" s="1"/>
      <c r="D77" s="1"/>
      <c r="E77" s="1"/>
      <c r="F77" s="8"/>
      <c r="G77" s="5"/>
      <c r="H77" s="5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5" x14ac:dyDescent="0.25">
      <c r="A78" s="1"/>
      <c r="B78" s="1"/>
      <c r="C78" s="1"/>
      <c r="D78" s="1"/>
      <c r="E78" s="1"/>
      <c r="F78" s="8"/>
      <c r="G78" s="5"/>
      <c r="H78" s="5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5" x14ac:dyDescent="0.25">
      <c r="A79" s="1"/>
      <c r="B79" s="1"/>
      <c r="C79" s="1"/>
      <c r="D79" s="1"/>
      <c r="E79" s="1"/>
      <c r="F79" s="8"/>
      <c r="G79" s="5"/>
      <c r="H79" s="5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5" x14ac:dyDescent="0.25">
      <c r="A80" s="1"/>
      <c r="B80" s="1"/>
      <c r="C80" s="1"/>
      <c r="D80" s="1"/>
      <c r="E80" s="1"/>
      <c r="F80" s="8"/>
      <c r="G80" s="5"/>
      <c r="H80" s="5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5" x14ac:dyDescent="0.25">
      <c r="A81" s="1"/>
      <c r="B81" s="1"/>
      <c r="C81" s="1"/>
      <c r="D81" s="1"/>
      <c r="E81" s="1"/>
      <c r="F81" s="8"/>
      <c r="G81" s="5"/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5" x14ac:dyDescent="0.25">
      <c r="A82" s="1"/>
      <c r="B82" s="1"/>
      <c r="C82" s="1"/>
      <c r="D82" s="1"/>
      <c r="E82" s="1"/>
      <c r="F82" s="8"/>
      <c r="G82" s="5"/>
      <c r="H82" s="5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5" x14ac:dyDescent="0.25">
      <c r="A83" s="1"/>
      <c r="B83" s="1"/>
      <c r="C83" s="1"/>
      <c r="D83" s="1"/>
      <c r="E83" s="1"/>
      <c r="F83" s="8"/>
      <c r="G83" s="5"/>
      <c r="H83" s="5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5" x14ac:dyDescent="0.25">
      <c r="A84" s="1"/>
      <c r="B84" s="1"/>
      <c r="C84" s="1"/>
      <c r="D84" s="1"/>
      <c r="E84" s="1"/>
      <c r="F84" s="8"/>
      <c r="G84" s="5"/>
      <c r="H84" s="5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5" x14ac:dyDescent="0.25">
      <c r="A85" s="1"/>
      <c r="B85" s="1"/>
      <c r="C85" s="1"/>
      <c r="D85" s="1"/>
      <c r="E85" s="1"/>
      <c r="F85" s="8"/>
      <c r="G85" s="5"/>
      <c r="H85" s="5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5" x14ac:dyDescent="0.25">
      <c r="A86" s="1"/>
      <c r="B86" s="1"/>
      <c r="C86" s="1"/>
      <c r="D86" s="1"/>
      <c r="E86" s="1"/>
      <c r="F86" s="8"/>
      <c r="G86" s="5"/>
      <c r="H86" s="5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5" x14ac:dyDescent="0.25">
      <c r="A87" s="1"/>
      <c r="B87" s="1"/>
      <c r="C87" s="1"/>
      <c r="D87" s="1"/>
      <c r="E87" s="1"/>
      <c r="F87" s="8"/>
      <c r="G87" s="5"/>
      <c r="H87" s="5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5" x14ac:dyDescent="0.25">
      <c r="A88" s="1"/>
      <c r="B88" s="1"/>
      <c r="C88" s="1"/>
      <c r="D88" s="1"/>
      <c r="E88" s="1"/>
      <c r="F88" s="8"/>
      <c r="G88" s="5"/>
      <c r="H88" s="5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5" x14ac:dyDescent="0.25">
      <c r="A89" s="1"/>
      <c r="B89" s="1"/>
      <c r="C89" s="1"/>
      <c r="D89" s="1"/>
      <c r="E89" s="1"/>
      <c r="F89" s="8"/>
      <c r="G89" s="5"/>
      <c r="H89" s="5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5" x14ac:dyDescent="0.25">
      <c r="A90" s="1"/>
      <c r="B90" s="1"/>
      <c r="C90" s="1"/>
      <c r="D90" s="1"/>
      <c r="E90" s="1"/>
      <c r="F90" s="8"/>
      <c r="G90" s="5"/>
      <c r="H90" s="5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5" x14ac:dyDescent="0.25">
      <c r="A91" s="1"/>
      <c r="B91" s="1"/>
      <c r="C91" s="1"/>
      <c r="D91" s="1"/>
      <c r="E91" s="1"/>
      <c r="F91" s="8"/>
      <c r="G91" s="5"/>
      <c r="H91" s="5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5" x14ac:dyDescent="0.25">
      <c r="A92" s="1"/>
      <c r="B92" s="1"/>
      <c r="C92" s="1"/>
      <c r="D92" s="1"/>
      <c r="E92" s="1"/>
      <c r="F92" s="8"/>
      <c r="G92" s="5"/>
      <c r="H92" s="5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5" x14ac:dyDescent="0.25">
      <c r="A93" s="1"/>
      <c r="B93" s="1"/>
      <c r="C93" s="1"/>
      <c r="D93" s="1"/>
      <c r="E93" s="1"/>
      <c r="F93" s="8"/>
      <c r="G93" s="5"/>
      <c r="H93" s="5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5" x14ac:dyDescent="0.25">
      <c r="A94" s="1"/>
      <c r="B94" s="1"/>
      <c r="C94" s="1"/>
      <c r="D94" s="1"/>
      <c r="E94" s="1"/>
      <c r="F94" s="8"/>
      <c r="G94" s="5"/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5" x14ac:dyDescent="0.25">
      <c r="A95" s="1"/>
      <c r="B95" s="1"/>
      <c r="C95" s="1"/>
      <c r="D95" s="1"/>
      <c r="E95" s="1"/>
      <c r="F95" s="8"/>
      <c r="G95" s="5"/>
      <c r="H95" s="5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5" x14ac:dyDescent="0.25">
      <c r="A96" s="1"/>
      <c r="B96" s="1"/>
      <c r="C96" s="1"/>
      <c r="D96" s="1"/>
      <c r="E96" s="1"/>
      <c r="F96" s="8"/>
      <c r="G96" s="5"/>
      <c r="H96" s="5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5" x14ac:dyDescent="0.25">
      <c r="A97" s="1"/>
      <c r="B97" s="1"/>
      <c r="C97" s="1"/>
      <c r="D97" s="1"/>
      <c r="E97" s="1"/>
      <c r="F97" s="8"/>
      <c r="G97" s="5"/>
      <c r="H97" s="5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5" x14ac:dyDescent="0.25">
      <c r="A98" s="1"/>
      <c r="B98" s="1"/>
      <c r="C98" s="1"/>
      <c r="D98" s="1"/>
      <c r="E98" s="1"/>
      <c r="F98" s="8"/>
      <c r="G98" s="5"/>
      <c r="H98" s="5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5" x14ac:dyDescent="0.25">
      <c r="A99" s="1"/>
      <c r="B99" s="1"/>
      <c r="C99" s="1"/>
      <c r="D99" s="1"/>
      <c r="E99" s="1"/>
      <c r="F99" s="8"/>
      <c r="G99" s="5"/>
      <c r="H99" s="5"/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5" x14ac:dyDescent="0.25">
      <c r="A100" s="1"/>
      <c r="B100" s="1"/>
      <c r="C100" s="1"/>
      <c r="D100" s="1"/>
      <c r="E100" s="1"/>
      <c r="F100" s="8"/>
      <c r="G100" s="5"/>
      <c r="H100" s="5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5" x14ac:dyDescent="0.25">
      <c r="A101" s="1"/>
      <c r="B101" s="1"/>
      <c r="C101" s="1"/>
      <c r="D101" s="1"/>
      <c r="E101" s="1"/>
      <c r="F101" s="8"/>
      <c r="G101" s="5"/>
      <c r="H101" s="5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64BC-9E04-4EDA-823F-88ECB87BE14A}">
  <dimension ref="A3:N14"/>
  <sheetViews>
    <sheetView topLeftCell="B1" workbookViewId="0">
      <selection activeCell="N14" sqref="N14"/>
    </sheetView>
  </sheetViews>
  <sheetFormatPr defaultRowHeight="12.5" x14ac:dyDescent="0.25"/>
  <cols>
    <col min="1" max="1" width="6.26953125" bestFit="1" customWidth="1"/>
    <col min="2" max="2" width="57.26953125" bestFit="1" customWidth="1"/>
  </cols>
  <sheetData>
    <row r="3" spans="1:14" x14ac:dyDescent="0.25">
      <c r="A3" s="11" t="s">
        <v>2</v>
      </c>
      <c r="B3" s="12" t="s">
        <v>124</v>
      </c>
    </row>
    <row r="4" spans="1:14" x14ac:dyDescent="0.25">
      <c r="A4" s="10" t="s">
        <v>39</v>
      </c>
      <c r="B4" s="13">
        <v>6.4</v>
      </c>
    </row>
    <row r="5" spans="1:14" x14ac:dyDescent="0.25">
      <c r="A5" s="14" t="s">
        <v>16</v>
      </c>
      <c r="B5" s="15">
        <v>8.4285714285714288</v>
      </c>
    </row>
    <row r="6" spans="1:14" x14ac:dyDescent="0.25">
      <c r="A6" s="14" t="s">
        <v>23</v>
      </c>
      <c r="B6" s="15">
        <v>6</v>
      </c>
    </row>
    <row r="7" spans="1:14" x14ac:dyDescent="0.25">
      <c r="A7" s="16" t="s">
        <v>30</v>
      </c>
      <c r="B7" s="17">
        <v>2.5</v>
      </c>
    </row>
    <row r="14" spans="1:14" x14ac:dyDescent="0.25">
      <c r="N14" s="29" t="s">
        <v>125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3CA2-4A8D-4E54-AF7F-4218ED7639F9}">
  <dimension ref="A3:C7"/>
  <sheetViews>
    <sheetView workbookViewId="0">
      <selection activeCell="D13" sqref="D13"/>
    </sheetView>
  </sheetViews>
  <sheetFormatPr defaultRowHeight="12.5" x14ac:dyDescent="0.25"/>
  <cols>
    <col min="1" max="1" width="6.26953125" bestFit="1" customWidth="1"/>
    <col min="2" max="2" width="48.90625" bestFit="1" customWidth="1"/>
    <col min="3" max="3" width="56.453125" bestFit="1" customWidth="1"/>
    <col min="4" max="7" width="53.26953125" bestFit="1" customWidth="1"/>
  </cols>
  <sheetData>
    <row r="3" spans="1:3" x14ac:dyDescent="0.25">
      <c r="A3" s="11" t="s">
        <v>2</v>
      </c>
      <c r="B3" s="10" t="s">
        <v>126</v>
      </c>
      <c r="C3" s="22" t="s">
        <v>127</v>
      </c>
    </row>
    <row r="4" spans="1:3" x14ac:dyDescent="0.25">
      <c r="A4" s="10" t="s">
        <v>39</v>
      </c>
      <c r="B4" s="23">
        <v>3</v>
      </c>
      <c r="C4" s="24">
        <v>1.4</v>
      </c>
    </row>
    <row r="5" spans="1:3" x14ac:dyDescent="0.25">
      <c r="A5" s="14" t="s">
        <v>16</v>
      </c>
      <c r="B5" s="25">
        <v>5.2142857142857144</v>
      </c>
      <c r="C5" s="26">
        <v>1.2857142857142858</v>
      </c>
    </row>
    <row r="6" spans="1:3" x14ac:dyDescent="0.25">
      <c r="A6" s="14" t="s">
        <v>23</v>
      </c>
      <c r="B6" s="25">
        <v>4</v>
      </c>
      <c r="C6" s="26">
        <v>1.05</v>
      </c>
    </row>
    <row r="7" spans="1:3" x14ac:dyDescent="0.25">
      <c r="A7" s="16" t="s">
        <v>30</v>
      </c>
      <c r="B7" s="27">
        <v>0</v>
      </c>
      <c r="C7" s="28">
        <v>1.5833333333333333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EDF4-016A-43C0-B37A-FC7904DAB276}">
  <dimension ref="A3:B5"/>
  <sheetViews>
    <sheetView tabSelected="1" workbookViewId="0">
      <selection activeCell="E16" sqref="E16"/>
    </sheetView>
  </sheetViews>
  <sheetFormatPr defaultRowHeight="12.5" x14ac:dyDescent="0.25"/>
  <cols>
    <col min="1" max="1" width="35.08984375" bestFit="1" customWidth="1"/>
    <col min="2" max="2" width="11.26953125" bestFit="1" customWidth="1"/>
    <col min="3" max="4" width="5.81640625" bestFit="1" customWidth="1"/>
    <col min="5" max="5" width="3.90625" bestFit="1" customWidth="1"/>
  </cols>
  <sheetData>
    <row r="3" spans="1:2" x14ac:dyDescent="0.25">
      <c r="A3" s="11" t="s">
        <v>131</v>
      </c>
      <c r="B3" s="12" t="s">
        <v>128</v>
      </c>
    </row>
    <row r="4" spans="1:2" x14ac:dyDescent="0.25">
      <c r="A4" s="10" t="s">
        <v>132</v>
      </c>
      <c r="B4" s="30">
        <v>7</v>
      </c>
    </row>
    <row r="5" spans="1:2" x14ac:dyDescent="0.25">
      <c r="A5" s="16" t="s">
        <v>133</v>
      </c>
      <c r="B5" s="31">
        <v>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Screen time per age group</vt:lpstr>
      <vt:lpstr>Work Vs Entertainment</vt:lpstr>
      <vt:lpstr>Screentime Affecting sleep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Dibyajit Saha</cp:lastModifiedBy>
  <dcterms:modified xsi:type="dcterms:W3CDTF">2026-08-06T11:15:50Z</dcterms:modified>
</cp:coreProperties>
</file>